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itic\10 Финальный проект\1 Проект\"/>
    </mc:Choice>
  </mc:AlternateContent>
  <xr:revisionPtr revIDLastSave="0" documentId="13_ncr:1_{010A2285-DC54-4C0C-9EE3-EA3D42F0F4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ТОП-3 по доле в товарообороте" sheetId="4" r:id="rId1"/>
    <sheet name="ТОП-3 по товарообороту на склад" sheetId="5" r:id="rId2"/>
    <sheet name="График" sheetId="6" r:id="rId3"/>
    <sheet name="Лист1" sheetId="1" r:id="rId4"/>
    <sheet name="Лист2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 a="1"/>
  <c r="G3" i="1" s="1"/>
  <c r="G4" i="1" a="1"/>
  <c r="G4" i="1" s="1"/>
  <c r="G5" i="1" a="1"/>
  <c r="G5" i="1" s="1"/>
  <c r="G6" i="1" a="1"/>
  <c r="G6" i="1"/>
  <c r="G7" i="1" a="1"/>
  <c r="G7" i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/>
  <c r="G19" i="1" a="1"/>
  <c r="G19" i="1" s="1"/>
  <c r="G20" i="1" a="1"/>
  <c r="G20" i="1" s="1"/>
  <c r="G21" i="1" a="1"/>
  <c r="G21" i="1" s="1"/>
  <c r="G22" i="1" a="1"/>
  <c r="G22" i="1" s="1"/>
  <c r="G23" i="1" a="1"/>
  <c r="G23" i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/>
  <c r="G35" i="1" a="1"/>
  <c r="G35" i="1" s="1"/>
  <c r="G36" i="1" a="1"/>
  <c r="G36" i="1" s="1"/>
  <c r="G37" i="1" a="1"/>
  <c r="G37" i="1" s="1"/>
  <c r="G38" i="1" a="1"/>
  <c r="G38" i="1" s="1"/>
  <c r="G39" i="1" a="1"/>
  <c r="G39" i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/>
  <c r="G51" i="1" a="1"/>
  <c r="G51" i="1" s="1"/>
  <c r="G52" i="1" a="1"/>
  <c r="G52" i="1" s="1"/>
  <c r="G53" i="1" a="1"/>
  <c r="G53" i="1" s="1"/>
  <c r="G54" i="1" a="1"/>
  <c r="G54" i="1" s="1"/>
  <c r="G55" i="1" a="1"/>
  <c r="G55" i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/>
  <c r="G67" i="1" a="1"/>
  <c r="G67" i="1" s="1"/>
  <c r="G68" i="1" a="1"/>
  <c r="G68" i="1" s="1"/>
  <c r="G69" i="1" a="1"/>
  <c r="G69" i="1" s="1"/>
  <c r="G70" i="1" a="1"/>
  <c r="G70" i="1" s="1"/>
  <c r="G71" i="1" a="1"/>
  <c r="G71" i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/>
  <c r="G83" i="1" a="1"/>
  <c r="G83" i="1" s="1"/>
  <c r="G84" i="1" a="1"/>
  <c r="G84" i="1" s="1"/>
  <c r="G85" i="1" a="1"/>
  <c r="G85" i="1" s="1"/>
  <c r="G86" i="1" a="1"/>
  <c r="G86" i="1" s="1"/>
  <c r="G87" i="1" a="1"/>
  <c r="G87" i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/>
  <c r="G99" i="1" a="1"/>
  <c r="G99" i="1" s="1"/>
  <c r="G100" i="1" a="1"/>
  <c r="G100" i="1" s="1"/>
  <c r="G101" i="1" a="1"/>
  <c r="G101" i="1" s="1"/>
  <c r="G102" i="1" a="1"/>
  <c r="G102" i="1" s="1"/>
  <c r="G103" i="1" a="1"/>
  <c r="G103" i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/>
  <c r="G115" i="1" a="1"/>
  <c r="G115" i="1" s="1"/>
  <c r="G116" i="1" a="1"/>
  <c r="G116" i="1" s="1"/>
  <c r="G117" i="1" a="1"/>
  <c r="G117" i="1" s="1"/>
  <c r="G118" i="1" a="1"/>
  <c r="G118" i="1" s="1"/>
  <c r="G119" i="1" a="1"/>
  <c r="G119" i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/>
  <c r="G131" i="1" a="1"/>
  <c r="G131" i="1" s="1"/>
  <c r="G132" i="1" a="1"/>
  <c r="G132" i="1" s="1"/>
  <c r="G133" i="1" a="1"/>
  <c r="G133" i="1" s="1"/>
  <c r="G134" i="1" a="1"/>
  <c r="G134" i="1" s="1"/>
  <c r="G135" i="1" a="1"/>
  <c r="G135" i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/>
  <c r="G147" i="1" a="1"/>
  <c r="G147" i="1" s="1"/>
  <c r="G148" i="1" a="1"/>
  <c r="G148" i="1" s="1"/>
  <c r="G149" i="1" a="1"/>
  <c r="G149" i="1" s="1"/>
  <c r="G150" i="1" a="1"/>
  <c r="G150" i="1" s="1"/>
  <c r="G151" i="1" a="1"/>
  <c r="G151" i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/>
  <c r="G163" i="1" a="1"/>
  <c r="G163" i="1" s="1"/>
  <c r="G164" i="1" a="1"/>
  <c r="G164" i="1" s="1"/>
  <c r="G165" i="1" a="1"/>
  <c r="G165" i="1" s="1"/>
  <c r="G166" i="1" a="1"/>
  <c r="G166" i="1" s="1"/>
  <c r="G167" i="1" a="1"/>
  <c r="G167" i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/>
  <c r="G179" i="1" a="1"/>
  <c r="G179" i="1" s="1"/>
  <c r="G180" i="1" a="1"/>
  <c r="G180" i="1" s="1"/>
  <c r="G181" i="1" a="1"/>
  <c r="G181" i="1" s="1"/>
  <c r="G182" i="1" a="1"/>
  <c r="G182" i="1" s="1"/>
  <c r="G183" i="1" a="1"/>
  <c r="G183" i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2" i="1" a="1"/>
  <c r="G2" i="1" s="1"/>
  <c r="F3" i="1" a="1"/>
  <c r="F3" i="1" s="1"/>
  <c r="F4" i="1" a="1"/>
  <c r="F4" i="1" s="1"/>
  <c r="F5" i="1" a="1"/>
  <c r="F5" i="1" s="1"/>
  <c r="F6" i="1" a="1"/>
  <c r="F6" i="1"/>
  <c r="F7" i="1" a="1"/>
  <c r="F7" i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2" i="1" a="1"/>
  <c r="F2" i="1" s="1"/>
  <c r="E3" i="1" a="1"/>
  <c r="E3" i="1" s="1"/>
  <c r="E4" i="1" a="1"/>
  <c r="E4" i="1" s="1"/>
  <c r="E5" i="1" a="1"/>
  <c r="E5" i="1" s="1"/>
  <c r="E6" i="1" a="1"/>
  <c r="E6" i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<sst xmlns="http://schemas.openxmlformats.org/spreadsheetml/2006/main" count="1070" uniqueCount="32">
  <si>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</si>
  <si>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</si>
  <si>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</si>
  <si>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</si>
  <si>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</si>
  <si>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</si>
  <si>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</si>
  <si>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</si>
  <si>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</si>
  <si>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</si>
  <si>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</si>
  <si>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</si>
  <si>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</si>
  <si>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</si>
  <si>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</si>
  <si>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</si>
  <si>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</si>
  <si>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</si>
  <si>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</si>
  <si>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</si>
  <si>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</si>
  <si>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</si>
  <si>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</si>
  <si>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</si>
  <si>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</si>
  <si>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</si>
  <si>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</si>
  <si>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</si>
  <si>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</si>
  <si>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>Sum of Товарооборот, руб</t>
  </si>
  <si>
    <t>Average of Товарооборот на склад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</si>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</sst>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4" borderId="0" xfId="0" applyFont="1" applyFill="1" applyAlignment="1">
      <alignment horizontal="left"/>
    </xf>
    <xf numFmtId="0" fontId="0" fillId="4" borderId="0" xfId="0" applyNumberFormat="1" applyFont="1" applyFill="1" applyAlignment="1"/>
    <xf numFmtId="10" fontId="0" fillId="4" borderId="0" xfId="0" applyNumberFormat="1" applyFont="1" applyFill="1" applyAlignment="1"/>
  </cellXfs>
  <cellStyles count="1">
    <cellStyle name="Normal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.xlsx]График!PivotTable4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График!$C$3</c:f>
              <c:strCache>
                <c:ptCount val="1"/>
                <c:pt idx="0">
                  <c:v>Sum of Товарооборот, руб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График!$C$4:$C$10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B-42D4-88D1-F14E72C7F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630543"/>
        <c:axId val="1309625743"/>
      </c:barChart>
      <c:lineChart>
        <c:grouping val="standar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Average of Товарооборот на склад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B-42D4-88D1-F14E72C7F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436399"/>
        <c:axId val="1821430159"/>
      </c:lineChart>
      <c:catAx>
        <c:axId val="130963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</a:t>
                </a:r>
                <a:r>
                  <a:rPr lang="ru-RU" baseline="0"/>
                  <a:t> руб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625743"/>
        <c:crosses val="autoZero"/>
        <c:auto val="1"/>
        <c:lblAlgn val="ctr"/>
        <c:lblOffset val="100"/>
        <c:noMultiLvlLbl val="0"/>
      </c:catAx>
      <c:valAx>
        <c:axId val="130962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9630543"/>
        <c:crosses val="autoZero"/>
        <c:crossBetween val="between"/>
      </c:valAx>
      <c:valAx>
        <c:axId val="18214301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Руб.</a:t>
                </a:r>
                <a:r>
                  <a:rPr lang="ru-RU" baseline="0"/>
                  <a:t> на 1 склад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1436399"/>
        <c:crosses val="max"/>
        <c:crossBetween val="between"/>
      </c:valAx>
      <c:catAx>
        <c:axId val="182143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1430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52880-EA15-88D9-5B5F-1E92A825A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enis M" refreshedDate="46083.743270486113" createdVersion="8" refreshedVersion="8" minRefreshableVersion="3" recordCount="504" xr:uid="{1369464F-7CE0-4B1D-9C8E-D138AF3C889A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9C390-501F-42AD-AEED-E56FB2972D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0" firstHeaderRow="1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Sum of Товарооборот, руб" fld="3" showDataAs="percentOfTotal" baseField="0" baseItem="0" numFmtId="10"/>
  </dataFields>
  <formats count="2">
    <format dxfId="3">
      <pivotArea collapsedLevelsAreSubtotals="1" fieldPosition="0">
        <references count="1">
          <reference field="1" count="3">
            <x v="6"/>
            <x v="12"/>
            <x v="13"/>
          </reference>
        </references>
      </pivotArea>
    </format>
    <format dxfId="2">
      <pivotArea dataOnly="0" labelOnly="1" fieldPosition="0">
        <references count="1">
          <reference field="1" count="3">
            <x v="6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0F431-5BDC-412C-A263-7CD402C98A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7">
        <item h="1" x="4"/>
        <item h="1" x="3"/>
        <item h="1" x="1"/>
        <item h="1" x="2"/>
        <item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 v="2"/>
    </i>
    <i>
      <x/>
    </i>
    <i>
      <x v="3"/>
    </i>
    <i>
      <x v="7"/>
    </i>
    <i>
      <x v="4"/>
    </i>
    <i>
      <x v="16"/>
    </i>
    <i>
      <x v="14"/>
    </i>
    <i>
      <x v="9"/>
    </i>
    <i>
      <x v="10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hier="-1"/>
  </pageFields>
  <dataFields count="1">
    <dataField name="Average of Товарооборот на склад" fld="7" subtotal="average" baseField="1" baseItem="0"/>
  </dataFields>
  <formats count="2">
    <format dxfId="1">
      <pivotArea collapsedLevelsAreSubtotals="1" fieldPosition="0">
        <references count="1">
          <reference field="1" count="3">
            <x v="5"/>
            <x v="6"/>
            <x v="12"/>
          </reference>
        </references>
      </pivotArea>
    </format>
    <format dxfId="0">
      <pivotArea dataOnly="0" labelOnly="1" fieldPosition="0">
        <references count="1">
          <reference field="1" count="3">
            <x v="5"/>
            <x v="6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F1EBB-1EEF-49D1-8F39-A8461AC8CA6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Товарооборот на склад" fld="7" subtotal="average" baseField="8" baseItem="5"/>
    <dataField name="Sum of Товарооборот, руб" fld="3" baseField="8" baseItem="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3394-E447-42A6-BD65-77DFCA3FE159}">
  <dimension ref="A1:B20"/>
  <sheetViews>
    <sheetView tabSelected="1" workbookViewId="0">
      <selection activeCell="C5" sqref="C5"/>
    </sheetView>
  </sheetViews>
  <sheetFormatPr defaultRowHeight="14.5" x14ac:dyDescent="0.35"/>
  <cols>
    <col min="1" max="1" width="21.26953125" bestFit="1" customWidth="1"/>
    <col min="2" max="2" width="24" bestFit="1" customWidth="1"/>
  </cols>
  <sheetData>
    <row r="1" spans="1:2" x14ac:dyDescent="0.35">
      <c r="A1" s="13" t="s">
        <v>27</v>
      </c>
      <c r="B1" t="s">
        <v>29</v>
      </c>
    </row>
    <row r="2" spans="1:2" x14ac:dyDescent="0.35">
      <c r="A2" s="17" t="s">
        <v>15</v>
      </c>
      <c r="B2" s="19">
        <v>0.27823940999755076</v>
      </c>
    </row>
    <row r="3" spans="1:2" x14ac:dyDescent="0.35">
      <c r="A3" s="17" t="s">
        <v>14</v>
      </c>
      <c r="B3" s="19">
        <v>0.20869355411640439</v>
      </c>
    </row>
    <row r="4" spans="1:2" x14ac:dyDescent="0.35">
      <c r="A4" s="17" t="s">
        <v>21</v>
      </c>
      <c r="B4" s="19">
        <v>0.15600381182365852</v>
      </c>
    </row>
    <row r="5" spans="1:2" x14ac:dyDescent="0.35">
      <c r="A5" s="14" t="s">
        <v>22</v>
      </c>
      <c r="B5" s="16">
        <v>0.1487446586821162</v>
      </c>
    </row>
    <row r="6" spans="1:2" x14ac:dyDescent="0.35">
      <c r="A6" s="14" t="s">
        <v>11</v>
      </c>
      <c r="B6" s="16">
        <v>4.9051064796573195E-2</v>
      </c>
    </row>
    <row r="7" spans="1:2" x14ac:dyDescent="0.35">
      <c r="A7" s="14" t="s">
        <v>16</v>
      </c>
      <c r="B7" s="16">
        <v>4.3930742911644949E-2</v>
      </c>
    </row>
    <row r="8" spans="1:2" x14ac:dyDescent="0.35">
      <c r="A8" s="14" t="s">
        <v>17</v>
      </c>
      <c r="B8" s="16">
        <v>2.4299497824621857E-2</v>
      </c>
    </row>
    <row r="9" spans="1:2" x14ac:dyDescent="0.35">
      <c r="A9" s="14" t="s">
        <v>10</v>
      </c>
      <c r="B9" s="16">
        <v>2.0488951132439048E-2</v>
      </c>
    </row>
    <row r="10" spans="1:2" x14ac:dyDescent="0.35">
      <c r="A10" s="14" t="s">
        <v>13</v>
      </c>
      <c r="B10" s="16">
        <v>1.9263478180160522E-2</v>
      </c>
    </row>
    <row r="11" spans="1:2" x14ac:dyDescent="0.35">
      <c r="A11" s="14" t="s">
        <v>20</v>
      </c>
      <c r="B11" s="16">
        <v>1.7302774294285901E-2</v>
      </c>
    </row>
    <row r="12" spans="1:2" x14ac:dyDescent="0.35">
      <c r="A12" s="14" t="s">
        <v>18</v>
      </c>
      <c r="B12" s="16">
        <v>9.8346447456277158E-3</v>
      </c>
    </row>
    <row r="13" spans="1:2" x14ac:dyDescent="0.35">
      <c r="A13" s="14" t="s">
        <v>23</v>
      </c>
      <c r="B13" s="16">
        <v>8.2691776643069263E-3</v>
      </c>
    </row>
    <row r="14" spans="1:2" x14ac:dyDescent="0.35">
      <c r="A14" s="14" t="s">
        <v>19</v>
      </c>
      <c r="B14" s="16">
        <v>7.016128111058147E-3</v>
      </c>
    </row>
    <row r="15" spans="1:2" x14ac:dyDescent="0.35">
      <c r="A15" s="14" t="s">
        <v>12</v>
      </c>
      <c r="B15" s="16">
        <v>6.6918903987886027E-3</v>
      </c>
    </row>
    <row r="16" spans="1:2" x14ac:dyDescent="0.35">
      <c r="A16" s="14" t="s">
        <v>24</v>
      </c>
      <c r="B16" s="16">
        <v>1.1414240187458753E-3</v>
      </c>
    </row>
    <row r="17" spans="1:2" x14ac:dyDescent="0.35">
      <c r="A17" s="14" t="s">
        <v>9</v>
      </c>
      <c r="B17" s="16">
        <v>6.735905954786441E-4</v>
      </c>
    </row>
    <row r="18" spans="1:2" x14ac:dyDescent="0.35">
      <c r="A18" s="14" t="s">
        <v>25</v>
      </c>
      <c r="B18" s="16">
        <v>1.779206142441779E-4</v>
      </c>
    </row>
    <row r="19" spans="1:2" x14ac:dyDescent="0.35">
      <c r="A19" s="14" t="s">
        <v>26</v>
      </c>
      <c r="B19" s="16">
        <v>1.7728009229464408E-4</v>
      </c>
    </row>
    <row r="20" spans="1:2" x14ac:dyDescent="0.35">
      <c r="A20" s="14" t="s">
        <v>28</v>
      </c>
      <c r="B20" s="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FAD2-D256-4CB0-A8C0-45650342D176}">
  <dimension ref="A1:B22"/>
  <sheetViews>
    <sheetView workbookViewId="0">
      <selection activeCell="C5" sqref="C5"/>
    </sheetView>
  </sheetViews>
  <sheetFormatPr defaultRowHeight="14.5" x14ac:dyDescent="0.35"/>
  <cols>
    <col min="1" max="1" width="21.26953125" bestFit="1" customWidth="1"/>
    <col min="2" max="2" width="31.26953125" bestFit="1" customWidth="1"/>
  </cols>
  <sheetData>
    <row r="1" spans="1:2" x14ac:dyDescent="0.35">
      <c r="A1" s="13" t="s">
        <v>8</v>
      </c>
      <c r="B1" t="s">
        <v>31</v>
      </c>
    </row>
    <row r="3" spans="1:2" x14ac:dyDescent="0.35">
      <c r="A3" s="13" t="s">
        <v>27</v>
      </c>
      <c r="B3" t="s">
        <v>30</v>
      </c>
    </row>
    <row r="4" spans="1:2" x14ac:dyDescent="0.35">
      <c r="A4" s="17" t="s">
        <v>22</v>
      </c>
      <c r="B4" s="18">
        <v>394363.90625</v>
      </c>
    </row>
    <row r="5" spans="1:2" x14ac:dyDescent="0.35">
      <c r="A5" s="17" t="s">
        <v>21</v>
      </c>
      <c r="B5" s="18">
        <v>374958.31520127127</v>
      </c>
    </row>
    <row r="6" spans="1:2" x14ac:dyDescent="0.35">
      <c r="A6" s="17" t="s">
        <v>15</v>
      </c>
      <c r="B6" s="18">
        <v>332374.79732975509</v>
      </c>
    </row>
    <row r="7" spans="1:2" x14ac:dyDescent="0.35">
      <c r="A7" s="14" t="s">
        <v>14</v>
      </c>
      <c r="B7" s="15">
        <v>239586.21618363008</v>
      </c>
    </row>
    <row r="8" spans="1:2" x14ac:dyDescent="0.35">
      <c r="A8" s="14" t="s">
        <v>11</v>
      </c>
      <c r="B8" s="15">
        <v>232093.17338709679</v>
      </c>
    </row>
    <row r="9" spans="1:2" x14ac:dyDescent="0.35">
      <c r="A9" s="14" t="s">
        <v>17</v>
      </c>
      <c r="B9" s="15">
        <v>179233.38784584982</v>
      </c>
    </row>
    <row r="10" spans="1:2" x14ac:dyDescent="0.35">
      <c r="A10" s="14" t="s">
        <v>16</v>
      </c>
      <c r="B10" s="15">
        <v>178287.29124436938</v>
      </c>
    </row>
    <row r="11" spans="1:2" x14ac:dyDescent="0.35">
      <c r="A11" s="14" t="s">
        <v>10</v>
      </c>
      <c r="B11" s="15">
        <v>157616.58214285714</v>
      </c>
    </row>
    <row r="12" spans="1:2" x14ac:dyDescent="0.35">
      <c r="A12" s="14" t="s">
        <v>13</v>
      </c>
      <c r="B12" s="15">
        <v>153870.10312499999</v>
      </c>
    </row>
    <row r="13" spans="1:2" x14ac:dyDescent="0.35">
      <c r="A13" s="14" t="s">
        <v>20</v>
      </c>
      <c r="B13" s="15">
        <v>130504.83883928572</v>
      </c>
    </row>
    <row r="14" spans="1:2" x14ac:dyDescent="0.35">
      <c r="A14" s="14" t="s">
        <v>24</v>
      </c>
      <c r="B14" s="15">
        <v>115595.02040816328</v>
      </c>
    </row>
    <row r="15" spans="1:2" x14ac:dyDescent="0.35">
      <c r="A15" s="14" t="s">
        <v>12</v>
      </c>
      <c r="B15" s="15">
        <v>109626.3</v>
      </c>
    </row>
    <row r="16" spans="1:2" x14ac:dyDescent="0.35">
      <c r="A16" s="14" t="s">
        <v>18</v>
      </c>
      <c r="B16" s="15">
        <v>98740.158088235286</v>
      </c>
    </row>
    <row r="17" spans="1:2" x14ac:dyDescent="0.35">
      <c r="A17" s="14" t="s">
        <v>19</v>
      </c>
      <c r="B17" s="15">
        <v>86985.083593750009</v>
      </c>
    </row>
    <row r="18" spans="1:2" x14ac:dyDescent="0.35">
      <c r="A18" s="14" t="s">
        <v>23</v>
      </c>
      <c r="B18" s="15">
        <v>77797.520833333328</v>
      </c>
    </row>
    <row r="19" spans="1:2" x14ac:dyDescent="0.35">
      <c r="A19" s="14" t="s">
        <v>26</v>
      </c>
      <c r="B19" s="15">
        <v>73310.625</v>
      </c>
    </row>
    <row r="20" spans="1:2" x14ac:dyDescent="0.35">
      <c r="A20" s="14" t="s">
        <v>25</v>
      </c>
      <c r="B20" s="15">
        <v>49050.333333333328</v>
      </c>
    </row>
    <row r="21" spans="1:2" x14ac:dyDescent="0.35">
      <c r="A21" s="14" t="s">
        <v>9</v>
      </c>
      <c r="B21" s="15">
        <v>44567.98</v>
      </c>
    </row>
    <row r="22" spans="1:2" x14ac:dyDescent="0.35">
      <c r="A22" s="14" t="s">
        <v>28</v>
      </c>
      <c r="B22" s="15">
        <v>181601.78400030688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3B49-C600-4FA2-A19A-36EABFD59401}">
  <dimension ref="A3:C10"/>
  <sheetViews>
    <sheetView workbookViewId="0"/>
  </sheetViews>
  <sheetFormatPr defaultRowHeight="14.5" x14ac:dyDescent="0.35"/>
  <cols>
    <col min="1" max="1" width="12.36328125" bestFit="1" customWidth="1"/>
    <col min="2" max="2" width="31.26953125" bestFit="1" customWidth="1"/>
    <col min="3" max="3" width="24" bestFit="1" customWidth="1"/>
  </cols>
  <sheetData>
    <row r="3" spans="1:3" x14ac:dyDescent="0.35">
      <c r="A3" s="13" t="s">
        <v>27</v>
      </c>
      <c r="B3" t="s">
        <v>30</v>
      </c>
      <c r="C3" t="s">
        <v>29</v>
      </c>
    </row>
    <row r="4" spans="1:3" x14ac:dyDescent="0.35">
      <c r="A4" s="14">
        <v>18</v>
      </c>
      <c r="B4" s="15">
        <v>183538.89615147864</v>
      </c>
      <c r="C4" s="15">
        <v>836803032</v>
      </c>
    </row>
    <row r="5" spans="1:3" x14ac:dyDescent="0.35">
      <c r="A5" s="14">
        <v>19</v>
      </c>
      <c r="B5" s="15">
        <v>181743.53575290408</v>
      </c>
      <c r="C5" s="15">
        <v>983915409.85664999</v>
      </c>
    </row>
    <row r="6" spans="1:3" x14ac:dyDescent="0.35">
      <c r="A6" s="14">
        <v>20</v>
      </c>
      <c r="B6" s="15">
        <v>178616.64545407731</v>
      </c>
      <c r="C6" s="15">
        <v>947263006.72395003</v>
      </c>
    </row>
    <row r="7" spans="1:3" x14ac:dyDescent="0.35">
      <c r="A7" s="14">
        <v>21</v>
      </c>
      <c r="B7" s="15">
        <v>191353.00752023421</v>
      </c>
      <c r="C7" s="15">
        <v>1002691883.0466</v>
      </c>
    </row>
    <row r="8" spans="1:3" x14ac:dyDescent="0.35">
      <c r="A8" s="14">
        <v>22</v>
      </c>
      <c r="B8" s="15">
        <v>185990.79014875146</v>
      </c>
      <c r="C8" s="15">
        <v>1055653508.75385</v>
      </c>
    </row>
    <row r="9" spans="1:3" x14ac:dyDescent="0.35">
      <c r="A9" s="14">
        <v>23</v>
      </c>
      <c r="B9" s="15">
        <v>154780.07975981152</v>
      </c>
      <c r="C9" s="15">
        <v>136032376.68134999</v>
      </c>
    </row>
    <row r="10" spans="1:3" x14ac:dyDescent="0.35">
      <c r="A10" s="14" t="s">
        <v>28</v>
      </c>
      <c r="B10" s="15">
        <v>183260.13954707855</v>
      </c>
      <c r="C10" s="15">
        <v>4962359217.0623989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E19" sqref="E19"/>
    </sheetView>
  </sheetViews>
  <sheetFormatPr defaultColWidth="14.453125" defaultRowHeight="15" customHeight="1" x14ac:dyDescent="0.35"/>
  <cols>
    <col min="1" max="1" width="10.453125" customWidth="1"/>
    <col min="2" max="2" width="21.7265625" customWidth="1"/>
    <col min="3" max="3" width="22" customWidth="1"/>
    <col min="4" max="4" width="20.26953125" customWidth="1"/>
    <col min="5" max="7" width="22" customWidth="1"/>
    <col min="8" max="8" width="23.453125" customWidth="1"/>
    <col min="9" max="24" width="8.7265625" customWidth="1"/>
  </cols>
  <sheetData>
    <row r="1" spans="1:24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5">
      <c r="A2" s="5">
        <v>43982</v>
      </c>
      <c r="B2" s="6" t="s">
        <v>9</v>
      </c>
      <c r="C2" s="6">
        <v>7944</v>
      </c>
      <c r="D2" s="6">
        <v>623971.5</v>
      </c>
      <c r="E2" s="7" cm="1">
        <f t="array" ref="E2">_xlfn.XLOOKUP(1,(Лист2!$A$2:$A$505=A2)*(Лист2!$B$2:$B$505=B2),(Лист2!$C$2:$C$505))</f>
        <v>15</v>
      </c>
      <c r="F2" s="7" cm="1">
        <f t="array" ref="F2">_xlfn.XLOOKUP(1, (Лист2!$A$2:$A$505=A2)*(Лист2!$B$2:$B$505=B2), Лист2!$D$2:$D$505)</f>
        <v>441</v>
      </c>
      <c r="G2" s="7" cm="1">
        <f t="array" ref="G2">_xlfn.XLOOKUP(1, (Лист2!$A$2:$A$505=A2)*(Лист2!$B$2:$B$505=B2), Лист2!$E$2:$E$505)</f>
        <v>368</v>
      </c>
      <c r="H2">
        <f>D2/E2</f>
        <v>41598.1</v>
      </c>
      <c r="I2">
        <f>_xlfn.ISOWEEKNUM(A2)</f>
        <v>22</v>
      </c>
    </row>
    <row r="3" spans="1:24" ht="14.25" customHeight="1" x14ac:dyDescent="0.35">
      <c r="A3" s="8">
        <v>43981</v>
      </c>
      <c r="B3" s="9" t="s">
        <v>9</v>
      </c>
      <c r="C3" s="9">
        <v>10029</v>
      </c>
      <c r="D3" s="9">
        <v>787101</v>
      </c>
      <c r="E3" s="7" cm="1">
        <f t="array" ref="E3">_xlfn.XLOOKUP(1,(Лист2!$A$2:$A$505=A3)*(Лист2!$B$2:$B$505=B3),(Лист2!$C$2:$C$505))</f>
        <v>15</v>
      </c>
      <c r="F3" s="7" cm="1">
        <f t="array" ref="F3">_xlfn.XLOOKUP(1, (Лист2!$A$2:$A$505=A3)*(Лист2!$B$2:$B$505=B3), Лист2!$D$2:$D$505)</f>
        <v>490</v>
      </c>
      <c r="G3" s="7" cm="1">
        <f t="array" ref="G3">_xlfn.XLOOKUP(1, (Лист2!$A$2:$A$505=A3)*(Лист2!$B$2:$B$505=B3), Лист2!$E$2:$E$505)</f>
        <v>409</v>
      </c>
      <c r="H3">
        <f t="shared" ref="H3:H66" si="0">D3/E3</f>
        <v>52473.4</v>
      </c>
      <c r="I3">
        <f t="shared" ref="I3:I66" si="1">_xlfn.ISOWEEKNUM(A3)</f>
        <v>22</v>
      </c>
    </row>
    <row r="4" spans="1:24" ht="14.25" customHeight="1" x14ac:dyDescent="0.35">
      <c r="A4" s="5">
        <v>43979</v>
      </c>
      <c r="B4" s="6" t="s">
        <v>9</v>
      </c>
      <c r="C4" s="6">
        <v>8536.5</v>
      </c>
      <c r="D4" s="6">
        <v>643944</v>
      </c>
      <c r="E4" s="7" cm="1">
        <f t="array" ref="E4">_xlfn.XLOOKUP(1,(Лист2!$A$2:$A$505=A4)*(Лист2!$B$2:$B$505=B4),(Лист2!$C$2:$C$505))</f>
        <v>15</v>
      </c>
      <c r="F4" s="7" cm="1">
        <f t="array" ref="F4">_xlfn.XLOOKUP(1, (Лист2!$A$2:$A$505=A4)*(Лист2!$B$2:$B$505=B4), Лист2!$D$2:$D$505)</f>
        <v>464</v>
      </c>
      <c r="G4" s="7" cm="1">
        <f t="array" ref="G4">_xlfn.XLOOKUP(1, (Лист2!$A$2:$A$505=A4)*(Лист2!$B$2:$B$505=B4), Лист2!$E$2:$E$505)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5">
      <c r="A5" s="8">
        <v>43967</v>
      </c>
      <c r="B5" s="9" t="s">
        <v>10</v>
      </c>
      <c r="C5" s="9">
        <v>38947.5</v>
      </c>
      <c r="D5" s="9">
        <v>3395892</v>
      </c>
      <c r="E5" s="7" cm="1">
        <f t="array" ref="E5">_xlfn.XLOOKUP(1,(Лист2!$A$2:$A$505=A5)*(Лист2!$B$2:$B$505=B5),(Лист2!$C$2:$C$505))</f>
        <v>21</v>
      </c>
      <c r="F5" s="7" cm="1">
        <f t="array" ref="F5">_xlfn.XLOOKUP(1, (Лист2!$A$2:$A$505=A5)*(Лист2!$B$2:$B$505=B5), Лист2!$D$2:$D$505)</f>
        <v>2145</v>
      </c>
      <c r="G5" s="7" cm="1">
        <f t="array" ref="G5">_xlfn.XLOOKUP(1, (Лист2!$A$2:$A$505=A5)*(Лист2!$B$2:$B$505=B5), Лист2!$E$2:$E$505)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5">
      <c r="A6" s="5">
        <v>43970</v>
      </c>
      <c r="B6" s="6" t="s">
        <v>10</v>
      </c>
      <c r="C6" s="6">
        <v>31842</v>
      </c>
      <c r="D6" s="6">
        <v>2771116.5</v>
      </c>
      <c r="E6" s="7" cm="1">
        <f t="array" ref="E6">_xlfn.XLOOKUP(1,(Лист2!$A$2:$A$505=A6)*(Лист2!$B$2:$B$505=B6),(Лист2!$C$2:$C$505))</f>
        <v>21</v>
      </c>
      <c r="F6" s="7" cm="1">
        <f t="array" ref="F6">_xlfn.XLOOKUP(1, (Лист2!$A$2:$A$505=A6)*(Лист2!$B$2:$B$505=B6), Лист2!$D$2:$D$505)</f>
        <v>1860</v>
      </c>
      <c r="G6" s="7" cm="1">
        <f t="array" ref="G6">_xlfn.XLOOKUP(1, (Лист2!$A$2:$A$505=A6)*(Лист2!$B$2:$B$505=B6), Лист2!$E$2:$E$505)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5">
      <c r="A7" s="8">
        <v>43968</v>
      </c>
      <c r="B7" s="9" t="s">
        <v>10</v>
      </c>
      <c r="C7" s="9">
        <v>32023.5</v>
      </c>
      <c r="D7" s="9">
        <v>2882458.5</v>
      </c>
      <c r="E7" s="7" cm="1">
        <f t="array" ref="E7">_xlfn.XLOOKUP(1,(Лист2!$A$2:$A$505=A7)*(Лист2!$B$2:$B$505=B7),(Лист2!$C$2:$C$505))</f>
        <v>21</v>
      </c>
      <c r="F7" s="7" cm="1">
        <f t="array" ref="F7">_xlfn.XLOOKUP(1, (Лист2!$A$2:$A$505=A7)*(Лист2!$B$2:$B$505=B7), Лист2!$D$2:$D$505)</f>
        <v>1874</v>
      </c>
      <c r="G7" s="7" cm="1">
        <f t="array" ref="G7">_xlfn.XLOOKUP(1, (Лист2!$A$2:$A$505=A7)*(Лист2!$B$2:$B$505=B7), Лист2!$E$2:$E$505)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35">
      <c r="A8" s="5">
        <v>43960</v>
      </c>
      <c r="B8" s="6" t="s">
        <v>10</v>
      </c>
      <c r="C8" s="6">
        <v>31147.5</v>
      </c>
      <c r="D8" s="6">
        <v>2831019</v>
      </c>
      <c r="E8" s="7" cm="1">
        <f t="array" ref="E8">_xlfn.XLOOKUP(1,(Лист2!$A$2:$A$505=A8)*(Лист2!$B$2:$B$505=B8),(Лист2!$C$2:$C$505))</f>
        <v>21</v>
      </c>
      <c r="F8" s="7" cm="1">
        <f t="array" ref="F8">_xlfn.XLOOKUP(1, (Лист2!$A$2:$A$505=A8)*(Лист2!$B$2:$B$505=B8), Лист2!$D$2:$D$505)</f>
        <v>1735</v>
      </c>
      <c r="G8" s="7" cm="1">
        <f t="array" ref="G8">_xlfn.XLOOKUP(1, (Лист2!$A$2:$A$505=A8)*(Лист2!$B$2:$B$505=B8), Лист2!$E$2:$E$505)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5">
      <c r="A9" s="8">
        <v>43955</v>
      </c>
      <c r="B9" s="9" t="s">
        <v>10</v>
      </c>
      <c r="C9" s="9">
        <v>25566</v>
      </c>
      <c r="D9" s="9">
        <v>2372310</v>
      </c>
      <c r="E9" s="7" cm="1">
        <f t="array" ref="E9">_xlfn.XLOOKUP(1,(Лист2!$A$2:$A$505=A9)*(Лист2!$B$2:$B$505=B9),(Лист2!$C$2:$C$505))</f>
        <v>20</v>
      </c>
      <c r="F9" s="7" cm="1">
        <f t="array" ref="F9">_xlfn.XLOOKUP(1, (Лист2!$A$2:$A$505=A9)*(Лист2!$B$2:$B$505=B9), Лист2!$D$2:$D$505)</f>
        <v>1519</v>
      </c>
      <c r="G9" s="7" cm="1">
        <f t="array" ref="G9">_xlfn.XLOOKUP(1, (Лист2!$A$2:$A$505=A9)*(Лист2!$B$2:$B$505=B9), Лист2!$E$2:$E$505)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5">
      <c r="A10" s="5">
        <v>43950</v>
      </c>
      <c r="B10" s="6" t="s">
        <v>10</v>
      </c>
      <c r="C10" s="6">
        <v>29319</v>
      </c>
      <c r="D10" s="6">
        <v>2623480.5</v>
      </c>
      <c r="E10" s="7" cm="1">
        <f t="array" ref="E10">_xlfn.XLOOKUP(1,(Лист2!$A$2:$A$505=A10)*(Лист2!$B$2:$B$505=B10),(Лист2!$C$2:$C$505))</f>
        <v>18</v>
      </c>
      <c r="F10" s="7" cm="1">
        <f t="array" ref="F10">_xlfn.XLOOKUP(1, (Лист2!$A$2:$A$505=A10)*(Лист2!$B$2:$B$505=B10), Лист2!$D$2:$D$505)</f>
        <v>1684</v>
      </c>
      <c r="G10" s="7" cm="1">
        <f t="array" ref="G10">_xlfn.XLOOKUP(1, (Лист2!$A$2:$A$505=A10)*(Лист2!$B$2:$B$505=B10), Лист2!$E$2:$E$505)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5">
      <c r="A11" s="8">
        <v>43953</v>
      </c>
      <c r="B11" s="9" t="s">
        <v>10</v>
      </c>
      <c r="C11" s="9">
        <v>29031</v>
      </c>
      <c r="D11" s="9">
        <v>2711247</v>
      </c>
      <c r="E11" s="7" cm="1">
        <f t="array" ref="E11">_xlfn.XLOOKUP(1,(Лист2!$A$2:$A$505=A11)*(Лист2!$B$2:$B$505=B11),(Лист2!$C$2:$C$505))</f>
        <v>18</v>
      </c>
      <c r="F11" s="7" cm="1">
        <f t="array" ref="F11">_xlfn.XLOOKUP(1, (Лист2!$A$2:$A$505=A11)*(Лист2!$B$2:$B$505=B11), Лист2!$D$2:$D$505)</f>
        <v>1708</v>
      </c>
      <c r="G11" s="7" cm="1">
        <f t="array" ref="G11">_xlfn.XLOOKUP(1, (Лист2!$A$2:$A$505=A11)*(Лист2!$B$2:$B$505=B11), Лист2!$E$2:$E$505)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5">
      <c r="A12" s="5">
        <v>43977</v>
      </c>
      <c r="B12" s="6" t="s">
        <v>10</v>
      </c>
      <c r="C12" s="6">
        <v>33423</v>
      </c>
      <c r="D12" s="6">
        <v>2970330</v>
      </c>
      <c r="E12" s="7" cm="1">
        <f t="array" ref="E12">_xlfn.XLOOKUP(1,(Лист2!$A$2:$A$505=A12)*(Лист2!$B$2:$B$505=B12),(Лист2!$C$2:$C$505))</f>
        <v>20</v>
      </c>
      <c r="F12" s="7" cm="1">
        <f t="array" ref="F12">_xlfn.XLOOKUP(1, (Лист2!$A$2:$A$505=A12)*(Лист2!$B$2:$B$505=B12), Лист2!$D$2:$D$505)</f>
        <v>2044</v>
      </c>
      <c r="G12" s="7" cm="1">
        <f t="array" ref="G12">_xlfn.XLOOKUP(1, (Лист2!$A$2:$A$505=A12)*(Лист2!$B$2:$B$505=B12), Лист2!$E$2:$E$505)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5">
      <c r="A13" s="8">
        <v>43952</v>
      </c>
      <c r="B13" s="9" t="s">
        <v>10</v>
      </c>
      <c r="C13" s="9">
        <v>32487</v>
      </c>
      <c r="D13" s="9">
        <v>3031254</v>
      </c>
      <c r="E13" s="7" cm="1">
        <f t="array" ref="E13">_xlfn.XLOOKUP(1,(Лист2!$A$2:$A$505=A13)*(Лист2!$B$2:$B$505=B13),(Лист2!$C$2:$C$505))</f>
        <v>18</v>
      </c>
      <c r="F13" s="7" cm="1">
        <f t="array" ref="F13">_xlfn.XLOOKUP(1, (Лист2!$A$2:$A$505=A13)*(Лист2!$B$2:$B$505=B13), Лист2!$D$2:$D$505)</f>
        <v>1826</v>
      </c>
      <c r="G13" s="7" cm="1">
        <f t="array" ref="G13">_xlfn.XLOOKUP(1, (Лист2!$A$2:$A$505=A13)*(Лист2!$B$2:$B$505=B13), Лист2!$E$2:$E$505)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5">
      <c r="A14" s="5">
        <v>43963</v>
      </c>
      <c r="B14" s="6" t="s">
        <v>10</v>
      </c>
      <c r="C14" s="6">
        <v>28219.5</v>
      </c>
      <c r="D14" s="6">
        <v>2595778.5</v>
      </c>
      <c r="E14" s="7" cm="1">
        <f t="array" ref="E14">_xlfn.XLOOKUP(1,(Лист2!$A$2:$A$505=A14)*(Лист2!$B$2:$B$505=B14),(Лист2!$C$2:$C$505))</f>
        <v>21</v>
      </c>
      <c r="F14" s="7" cm="1">
        <f t="array" ref="F14">_xlfn.XLOOKUP(1, (Лист2!$A$2:$A$505=A14)*(Лист2!$B$2:$B$505=B14), Лист2!$D$2:$D$505)</f>
        <v>1656</v>
      </c>
      <c r="G14" s="7" cm="1">
        <f t="array" ref="G14">_xlfn.XLOOKUP(1, (Лист2!$A$2:$A$505=A14)*(Лист2!$B$2:$B$505=B14), Лист2!$E$2:$E$505)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5">
      <c r="A15" s="8">
        <v>43972</v>
      </c>
      <c r="B15" s="9" t="s">
        <v>10</v>
      </c>
      <c r="C15" s="9">
        <v>31272</v>
      </c>
      <c r="D15" s="9">
        <v>2744382</v>
      </c>
      <c r="E15" s="7" cm="1">
        <f t="array" ref="E15">_xlfn.XLOOKUP(1,(Лист2!$A$2:$A$505=A15)*(Лист2!$B$2:$B$505=B15),(Лист2!$C$2:$C$505))</f>
        <v>21</v>
      </c>
      <c r="F15" s="7" cm="1">
        <f t="array" ref="F15">_xlfn.XLOOKUP(1, (Лист2!$A$2:$A$505=A15)*(Лист2!$B$2:$B$505=B15), Лист2!$D$2:$D$505)</f>
        <v>1787</v>
      </c>
      <c r="G15" s="7" cm="1">
        <f t="array" ref="G15">_xlfn.XLOOKUP(1, (Лист2!$A$2:$A$505=A15)*(Лист2!$B$2:$B$505=B15), Лист2!$E$2:$E$505)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5">
      <c r="A16" s="5">
        <v>43971</v>
      </c>
      <c r="B16" s="6" t="s">
        <v>10</v>
      </c>
      <c r="C16" s="6">
        <v>34077</v>
      </c>
      <c r="D16" s="6">
        <v>2929330.5</v>
      </c>
      <c r="E16" s="7" cm="1">
        <f t="array" ref="E16">_xlfn.XLOOKUP(1,(Лист2!$A$2:$A$505=A16)*(Лист2!$B$2:$B$505=B16),(Лист2!$C$2:$C$505))</f>
        <v>21</v>
      </c>
      <c r="F16" s="7" cm="1">
        <f t="array" ref="F16">_xlfn.XLOOKUP(1, (Лист2!$A$2:$A$505=A16)*(Лист2!$B$2:$B$505=B16), Лист2!$D$2:$D$505)</f>
        <v>1921</v>
      </c>
      <c r="G16" s="7" cm="1">
        <f t="array" ref="G16">_xlfn.XLOOKUP(1, (Лист2!$A$2:$A$505=A16)*(Лист2!$B$2:$B$505=B16), Лист2!$E$2:$E$505)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5">
      <c r="A17" s="8">
        <v>43956</v>
      </c>
      <c r="B17" s="9" t="s">
        <v>10</v>
      </c>
      <c r="C17" s="9">
        <v>31566</v>
      </c>
      <c r="D17" s="9">
        <v>2906763</v>
      </c>
      <c r="E17" s="7" cm="1">
        <f t="array" ref="E17">_xlfn.XLOOKUP(1,(Лист2!$A$2:$A$505=A17)*(Лист2!$B$2:$B$505=B17),(Лист2!$C$2:$C$505))</f>
        <v>20</v>
      </c>
      <c r="F17" s="7" cm="1">
        <f t="array" ref="F17">_xlfn.XLOOKUP(1, (Лист2!$A$2:$A$505=A17)*(Лист2!$B$2:$B$505=B17), Лист2!$D$2:$D$505)</f>
        <v>1773</v>
      </c>
      <c r="G17" s="7" cm="1">
        <f t="array" ref="G17">_xlfn.XLOOKUP(1, (Лист2!$A$2:$A$505=A17)*(Лист2!$B$2:$B$505=B17), Лист2!$E$2:$E$505)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5">
      <c r="A18" s="5">
        <v>43949</v>
      </c>
      <c r="B18" s="6" t="s">
        <v>10</v>
      </c>
      <c r="C18" s="6">
        <v>26940</v>
      </c>
      <c r="D18" s="6">
        <v>2411587.5</v>
      </c>
      <c r="E18" s="7" cm="1">
        <f t="array" ref="E18">_xlfn.XLOOKUP(1,(Лист2!$A$2:$A$505=A18)*(Лист2!$B$2:$B$505=B18),(Лист2!$C$2:$C$505))</f>
        <v>18</v>
      </c>
      <c r="F18" s="7" cm="1">
        <f t="array" ref="F18">_xlfn.XLOOKUP(1, (Лист2!$A$2:$A$505=A18)*(Лист2!$B$2:$B$505=B18), Лист2!$D$2:$D$505)</f>
        <v>1539</v>
      </c>
      <c r="G18" s="7" cm="1">
        <f t="array" ref="G18">_xlfn.XLOOKUP(1, (Лист2!$A$2:$A$505=A18)*(Лист2!$B$2:$B$505=B18), Лист2!$E$2:$E$505)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5">
      <c r="A19" s="8">
        <v>43964</v>
      </c>
      <c r="B19" s="9" t="s">
        <v>10</v>
      </c>
      <c r="C19" s="9">
        <v>29241</v>
      </c>
      <c r="D19" s="9">
        <v>2629782</v>
      </c>
      <c r="E19" s="7" cm="1">
        <f t="array" ref="E19">_xlfn.XLOOKUP(1,(Лист2!$A$2:$A$505=A19)*(Лист2!$B$2:$B$505=B19),(Лист2!$C$2:$C$505))</f>
        <v>21</v>
      </c>
      <c r="F19" s="7" cm="1">
        <f t="array" ref="F19">_xlfn.XLOOKUP(1, (Лист2!$A$2:$A$505=A19)*(Лист2!$B$2:$B$505=B19), Лист2!$D$2:$D$505)</f>
        <v>1698</v>
      </c>
      <c r="G19" s="7" cm="1">
        <f t="array" ref="G19">_xlfn.XLOOKUP(1, (Лист2!$A$2:$A$505=A19)*(Лист2!$B$2:$B$505=B19), Лист2!$E$2:$E$505)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5">
      <c r="A20" s="5">
        <v>43954</v>
      </c>
      <c r="B20" s="6" t="s">
        <v>10</v>
      </c>
      <c r="C20" s="6">
        <v>26082</v>
      </c>
      <c r="D20" s="6">
        <v>2434914</v>
      </c>
      <c r="E20" s="7" cm="1">
        <f t="array" ref="E20">_xlfn.XLOOKUP(1,(Лист2!$A$2:$A$505=A20)*(Лист2!$B$2:$B$505=B20),(Лист2!$C$2:$C$505))</f>
        <v>20</v>
      </c>
      <c r="F20" s="7" cm="1">
        <f t="array" ref="F20">_xlfn.XLOOKUP(1, (Лист2!$A$2:$A$505=A20)*(Лист2!$B$2:$B$505=B20), Лист2!$D$2:$D$505)</f>
        <v>1520</v>
      </c>
      <c r="G20" s="7" cm="1">
        <f t="array" ref="G20">_xlfn.XLOOKUP(1, (Лист2!$A$2:$A$505=A20)*(Лист2!$B$2:$B$505=B20), Лист2!$E$2:$E$505)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35">
      <c r="A21" s="8">
        <v>43957</v>
      </c>
      <c r="B21" s="9" t="s">
        <v>10</v>
      </c>
      <c r="C21" s="9">
        <v>32511</v>
      </c>
      <c r="D21" s="9">
        <v>2938623</v>
      </c>
      <c r="E21" s="7" cm="1">
        <f t="array" ref="E21">_xlfn.XLOOKUP(1,(Лист2!$A$2:$A$505=A21)*(Лист2!$B$2:$B$505=B21),(Лист2!$C$2:$C$505))</f>
        <v>20</v>
      </c>
      <c r="F21" s="7" cm="1">
        <f t="array" ref="F21">_xlfn.XLOOKUP(1, (Лист2!$A$2:$A$505=A21)*(Лист2!$B$2:$B$505=B21), Лист2!$D$2:$D$505)</f>
        <v>1784</v>
      </c>
      <c r="G21" s="7" cm="1">
        <f t="array" ref="G21">_xlfn.XLOOKUP(1, (Лист2!$A$2:$A$505=A21)*(Лист2!$B$2:$B$505=B21), Лист2!$E$2:$E$505)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5">
      <c r="A22" s="5">
        <v>43974</v>
      </c>
      <c r="B22" s="6" t="s">
        <v>10</v>
      </c>
      <c r="C22" s="6">
        <v>42703.5</v>
      </c>
      <c r="D22" s="6">
        <v>3628726.5</v>
      </c>
      <c r="E22" s="7" cm="1">
        <f t="array" ref="E22">_xlfn.XLOOKUP(1,(Лист2!$A$2:$A$505=A22)*(Лист2!$B$2:$B$505=B22),(Лист2!$C$2:$C$505))</f>
        <v>21</v>
      </c>
      <c r="F22" s="7" cm="1">
        <f t="array" ref="F22">_xlfn.XLOOKUP(1, (Лист2!$A$2:$A$505=A22)*(Лист2!$B$2:$B$505=B22), Лист2!$D$2:$D$505)</f>
        <v>2340</v>
      </c>
      <c r="G22" s="7" cm="1">
        <f t="array" ref="G22">_xlfn.XLOOKUP(1, (Лист2!$A$2:$A$505=A22)*(Лист2!$B$2:$B$505=B22), Лист2!$E$2:$E$505)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5">
      <c r="A23" s="8">
        <v>43976</v>
      </c>
      <c r="B23" s="9" t="s">
        <v>10</v>
      </c>
      <c r="C23" s="9">
        <v>35592</v>
      </c>
      <c r="D23" s="9">
        <v>3176580</v>
      </c>
      <c r="E23" s="7" cm="1">
        <f t="array" ref="E23">_xlfn.XLOOKUP(1,(Лист2!$A$2:$A$505=A23)*(Лист2!$B$2:$B$505=B23),(Лист2!$C$2:$C$505))</f>
        <v>20</v>
      </c>
      <c r="F23" s="7" cm="1">
        <f t="array" ref="F23">_xlfn.XLOOKUP(1, (Лист2!$A$2:$A$505=A23)*(Лист2!$B$2:$B$505=B23), Лист2!$D$2:$D$505)</f>
        <v>2087</v>
      </c>
      <c r="G23" s="7" cm="1">
        <f t="array" ref="G23">_xlfn.XLOOKUP(1, (Лист2!$A$2:$A$505=A23)*(Лист2!$B$2:$B$505=B23), Лист2!$E$2:$E$505)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5">
      <c r="A24" s="5">
        <v>43951</v>
      </c>
      <c r="B24" s="6" t="s">
        <v>10</v>
      </c>
      <c r="C24" s="6">
        <v>30445.5</v>
      </c>
      <c r="D24" s="6">
        <v>2817196.5</v>
      </c>
      <c r="E24" s="7" cm="1">
        <f t="array" ref="E24">_xlfn.XLOOKUP(1,(Лист2!$A$2:$A$505=A24)*(Лист2!$B$2:$B$505=B24),(Лист2!$C$2:$C$505))</f>
        <v>19</v>
      </c>
      <c r="F24" s="7" cm="1">
        <f t="array" ref="F24">_xlfn.XLOOKUP(1, (Лист2!$A$2:$A$505=A24)*(Лист2!$B$2:$B$505=B24), Лист2!$D$2:$D$505)</f>
        <v>1712</v>
      </c>
      <c r="G24" s="7" cm="1">
        <f t="array" ref="G24">_xlfn.XLOOKUP(1, (Лист2!$A$2:$A$505=A24)*(Лист2!$B$2:$B$505=B24), Лист2!$E$2:$E$505)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5">
      <c r="A25" s="8">
        <v>43961</v>
      </c>
      <c r="B25" s="9" t="s">
        <v>10</v>
      </c>
      <c r="C25" s="9">
        <v>36619.5</v>
      </c>
      <c r="D25" s="9">
        <v>3312967.5</v>
      </c>
      <c r="E25" s="7" cm="1">
        <f t="array" ref="E25">_xlfn.XLOOKUP(1,(Лист2!$A$2:$A$505=A25)*(Лист2!$B$2:$B$505=B25),(Лист2!$C$2:$C$505))</f>
        <v>21</v>
      </c>
      <c r="F25" s="7" cm="1">
        <f t="array" ref="F25">_xlfn.XLOOKUP(1, (Лист2!$A$2:$A$505=A25)*(Лист2!$B$2:$B$505=B25), Лист2!$D$2:$D$505)</f>
        <v>2016</v>
      </c>
      <c r="G25" s="7" cm="1">
        <f t="array" ref="G25">_xlfn.XLOOKUP(1, (Лист2!$A$2:$A$505=A25)*(Лист2!$B$2:$B$505=B25), Лист2!$E$2:$E$505)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35">
      <c r="A26" s="5">
        <v>43959</v>
      </c>
      <c r="B26" s="6" t="s">
        <v>10</v>
      </c>
      <c r="C26" s="6">
        <v>29409</v>
      </c>
      <c r="D26" s="6">
        <v>2645160</v>
      </c>
      <c r="E26" s="7" cm="1">
        <f t="array" ref="E26">_xlfn.XLOOKUP(1,(Лист2!$A$2:$A$505=A26)*(Лист2!$B$2:$B$505=B26),(Лист2!$C$2:$C$505))</f>
        <v>21</v>
      </c>
      <c r="F26" s="7" cm="1">
        <f t="array" ref="F26">_xlfn.XLOOKUP(1, (Лист2!$A$2:$A$505=A26)*(Лист2!$B$2:$B$505=B26), Лист2!$D$2:$D$505)</f>
        <v>1646</v>
      </c>
      <c r="G26" s="7" cm="1">
        <f t="array" ref="G26">_xlfn.XLOOKUP(1, (Лист2!$A$2:$A$505=A26)*(Лист2!$B$2:$B$505=B26), Лист2!$E$2:$E$505)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5">
      <c r="A27" s="8">
        <v>43958</v>
      </c>
      <c r="B27" s="9" t="s">
        <v>10</v>
      </c>
      <c r="C27" s="9">
        <v>27018</v>
      </c>
      <c r="D27" s="9">
        <v>2472213</v>
      </c>
      <c r="E27" s="7" cm="1">
        <f t="array" ref="E27">_xlfn.XLOOKUP(1,(Лист2!$A$2:$A$505=A27)*(Лист2!$B$2:$B$505=B27),(Лист2!$C$2:$C$505))</f>
        <v>21</v>
      </c>
      <c r="F27" s="7" cm="1">
        <f t="array" ref="F27">_xlfn.XLOOKUP(1, (Лист2!$A$2:$A$505=A27)*(Лист2!$B$2:$B$505=B27), Лист2!$D$2:$D$505)</f>
        <v>1542</v>
      </c>
      <c r="G27" s="7" cm="1">
        <f t="array" ref="G27">_xlfn.XLOOKUP(1, (Лист2!$A$2:$A$505=A27)*(Лист2!$B$2:$B$505=B27), Лист2!$E$2:$E$505)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5">
      <c r="A28" s="5">
        <v>43975</v>
      </c>
      <c r="B28" s="6" t="s">
        <v>10</v>
      </c>
      <c r="C28" s="6">
        <v>34303.5</v>
      </c>
      <c r="D28" s="6">
        <v>2924746.5</v>
      </c>
      <c r="E28" s="7" cm="1">
        <f t="array" ref="E28">_xlfn.XLOOKUP(1,(Лист2!$A$2:$A$505=A28)*(Лист2!$B$2:$B$505=B28),(Лист2!$C$2:$C$505))</f>
        <v>20</v>
      </c>
      <c r="F28" s="7" cm="1">
        <f t="array" ref="F28">_xlfn.XLOOKUP(1, (Лист2!$A$2:$A$505=A28)*(Лист2!$B$2:$B$505=B28), Лист2!$D$2:$D$505)</f>
        <v>1999</v>
      </c>
      <c r="G28" s="7" cm="1">
        <f t="array" ref="G28">_xlfn.XLOOKUP(1, (Лист2!$A$2:$A$505=A28)*(Лист2!$B$2:$B$505=B28), Лист2!$E$2:$E$505)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35">
      <c r="A29" s="8">
        <v>43982</v>
      </c>
      <c r="B29" s="9" t="s">
        <v>10</v>
      </c>
      <c r="C29" s="9">
        <v>36999</v>
      </c>
      <c r="D29" s="9">
        <v>3473895</v>
      </c>
      <c r="E29" s="7" cm="1">
        <f t="array" ref="E29">_xlfn.XLOOKUP(1,(Лист2!$A$2:$A$505=A29)*(Лист2!$B$2:$B$505=B29),(Лист2!$C$2:$C$505))</f>
        <v>21</v>
      </c>
      <c r="F29" s="7" cm="1">
        <f t="array" ref="F29">_xlfn.XLOOKUP(1, (Лист2!$A$2:$A$505=A29)*(Лист2!$B$2:$B$505=B29), Лист2!$D$2:$D$505)</f>
        <v>2271</v>
      </c>
      <c r="G29" s="7" cm="1">
        <f t="array" ref="G29">_xlfn.XLOOKUP(1, (Лист2!$A$2:$A$505=A29)*(Лист2!$B$2:$B$505=B29), Лист2!$E$2:$E$505)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35">
      <c r="A30" s="5">
        <v>43981</v>
      </c>
      <c r="B30" s="6" t="s">
        <v>10</v>
      </c>
      <c r="C30" s="6">
        <v>44001</v>
      </c>
      <c r="D30" s="6">
        <v>3921784.5</v>
      </c>
      <c r="E30" s="7" cm="1">
        <f t="array" ref="E30">_xlfn.XLOOKUP(1,(Лист2!$A$2:$A$505=A30)*(Лист2!$B$2:$B$505=B30),(Лист2!$C$2:$C$505))</f>
        <v>20</v>
      </c>
      <c r="F30" s="7" cm="1">
        <f t="array" ref="F30">_xlfn.XLOOKUP(1, (Лист2!$A$2:$A$505=A30)*(Лист2!$B$2:$B$505=B30), Лист2!$D$2:$D$505)</f>
        <v>2597</v>
      </c>
      <c r="G30" s="7" cm="1">
        <f t="array" ref="G30">_xlfn.XLOOKUP(1, (Лист2!$A$2:$A$505=A30)*(Лист2!$B$2:$B$505=B30), Лист2!$E$2:$E$505)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5">
      <c r="A31" s="8">
        <v>43979</v>
      </c>
      <c r="B31" s="9" t="s">
        <v>10</v>
      </c>
      <c r="C31" s="9">
        <v>30982.5</v>
      </c>
      <c r="D31" s="9">
        <v>2827773</v>
      </c>
      <c r="E31" s="7" cm="1">
        <f t="array" ref="E31">_xlfn.XLOOKUP(1,(Лист2!$A$2:$A$505=A31)*(Лист2!$B$2:$B$505=B31),(Лист2!$C$2:$C$505))</f>
        <v>20</v>
      </c>
      <c r="F31" s="7" cm="1">
        <f t="array" ref="F31">_xlfn.XLOOKUP(1, (Лист2!$A$2:$A$505=A31)*(Лист2!$B$2:$B$505=B31), Лист2!$D$2:$D$505)</f>
        <v>1886</v>
      </c>
      <c r="G31" s="7" cm="1">
        <f t="array" ref="G31">_xlfn.XLOOKUP(1, (Лист2!$A$2:$A$505=A31)*(Лист2!$B$2:$B$505=B31), Лист2!$E$2:$E$505)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5">
      <c r="A32" s="5">
        <v>43967</v>
      </c>
      <c r="B32" s="6" t="s">
        <v>11</v>
      </c>
      <c r="C32" s="6">
        <v>88063.5</v>
      </c>
      <c r="D32" s="6">
        <v>7583758.5</v>
      </c>
      <c r="E32" s="7" cm="1">
        <f t="array" ref="E32">_xlfn.XLOOKUP(1,(Лист2!$A$2:$A$505=A32)*(Лист2!$B$2:$B$505=B32),(Лист2!$C$2:$C$505))</f>
        <v>31</v>
      </c>
      <c r="F32" s="7" cm="1">
        <f t="array" ref="F32">_xlfn.XLOOKUP(1, (Лист2!$A$2:$A$505=A32)*(Лист2!$B$2:$B$505=B32), Лист2!$D$2:$D$505)</f>
        <v>5593</v>
      </c>
      <c r="G32" s="7" cm="1">
        <f t="array" ref="G32">_xlfn.XLOOKUP(1, (Лист2!$A$2:$A$505=A32)*(Лист2!$B$2:$B$505=B32), Лист2!$E$2:$E$505)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5">
      <c r="A33" s="8">
        <v>43970</v>
      </c>
      <c r="B33" s="9" t="s">
        <v>11</v>
      </c>
      <c r="C33" s="9">
        <v>84024</v>
      </c>
      <c r="D33" s="9">
        <v>6815511</v>
      </c>
      <c r="E33" s="7" cm="1">
        <f t="array" ref="E33">_xlfn.XLOOKUP(1,(Лист2!$A$2:$A$505=A33)*(Лист2!$B$2:$B$505=B33),(Лист2!$C$2:$C$505))</f>
        <v>31</v>
      </c>
      <c r="F33" s="7" cm="1">
        <f t="array" ref="F33">_xlfn.XLOOKUP(1, (Лист2!$A$2:$A$505=A33)*(Лист2!$B$2:$B$505=B33), Лист2!$D$2:$D$505)</f>
        <v>5389</v>
      </c>
      <c r="G33" s="7" cm="1">
        <f t="array" ref="G33">_xlfn.XLOOKUP(1, (Лист2!$A$2:$A$505=A33)*(Лист2!$B$2:$B$505=B33), Лист2!$E$2:$E$505)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5">
      <c r="A34" s="5">
        <v>43968</v>
      </c>
      <c r="B34" s="6" t="s">
        <v>11</v>
      </c>
      <c r="C34" s="6">
        <v>78057</v>
      </c>
      <c r="D34" s="6">
        <v>6774946.5</v>
      </c>
      <c r="E34" s="7" cm="1">
        <f t="array" ref="E34">_xlfn.XLOOKUP(1,(Лист2!$A$2:$A$505=A34)*(Лист2!$B$2:$B$505=B34),(Лист2!$C$2:$C$505))</f>
        <v>31</v>
      </c>
      <c r="F34" s="7" cm="1">
        <f t="array" ref="F34">_xlfn.XLOOKUP(1, (Лист2!$A$2:$A$505=A34)*(Лист2!$B$2:$B$505=B34), Лист2!$D$2:$D$505)</f>
        <v>5206</v>
      </c>
      <c r="G34" s="7" cm="1">
        <f t="array" ref="G34">_xlfn.XLOOKUP(1, (Лист2!$A$2:$A$505=A34)*(Лист2!$B$2:$B$505=B34), Лист2!$E$2:$E$505)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35">
      <c r="A35" s="8">
        <v>43960</v>
      </c>
      <c r="B35" s="9" t="s">
        <v>11</v>
      </c>
      <c r="C35" s="9">
        <v>69720</v>
      </c>
      <c r="D35" s="9">
        <v>6264933</v>
      </c>
      <c r="E35" s="7" cm="1">
        <f t="array" ref="E35">_xlfn.XLOOKUP(1,(Лист2!$A$2:$A$505=A35)*(Лист2!$B$2:$B$505=B35),(Лист2!$C$2:$C$505))</f>
        <v>31</v>
      </c>
      <c r="F35" s="7" cm="1">
        <f t="array" ref="F35">_xlfn.XLOOKUP(1, (Лист2!$A$2:$A$505=A35)*(Лист2!$B$2:$B$505=B35), Лист2!$D$2:$D$505)</f>
        <v>4556</v>
      </c>
      <c r="G35" s="7" cm="1">
        <f t="array" ref="G35">_xlfn.XLOOKUP(1, (Лист2!$A$2:$A$505=A35)*(Лист2!$B$2:$B$505=B35), Лист2!$E$2:$E$505)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5">
      <c r="A36" s="5">
        <v>43955</v>
      </c>
      <c r="B36" s="6" t="s">
        <v>11</v>
      </c>
      <c r="C36" s="6">
        <v>72928.5</v>
      </c>
      <c r="D36" s="6">
        <v>6642249</v>
      </c>
      <c r="E36" s="7" cm="1">
        <f t="array" ref="E36">_xlfn.XLOOKUP(1,(Лист2!$A$2:$A$505=A36)*(Лист2!$B$2:$B$505=B36),(Лист2!$C$2:$C$505))</f>
        <v>31</v>
      </c>
      <c r="F36" s="7" cm="1">
        <f t="array" ref="F36">_xlfn.XLOOKUP(1, (Лист2!$A$2:$A$505=A36)*(Лист2!$B$2:$B$505=B36), Лист2!$D$2:$D$505)</f>
        <v>4968</v>
      </c>
      <c r="G36" s="7" cm="1">
        <f t="array" ref="G36">_xlfn.XLOOKUP(1, (Лист2!$A$2:$A$505=A36)*(Лист2!$B$2:$B$505=B36), Лист2!$E$2:$E$505)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5">
      <c r="A37" s="8">
        <v>43950</v>
      </c>
      <c r="B37" s="9" t="s">
        <v>11</v>
      </c>
      <c r="C37" s="9">
        <v>79527</v>
      </c>
      <c r="D37" s="9">
        <v>7180498.5</v>
      </c>
      <c r="E37" s="7" cm="1">
        <f t="array" ref="E37">_xlfn.XLOOKUP(1,(Лист2!$A$2:$A$505=A37)*(Лист2!$B$2:$B$505=B37),(Лист2!$C$2:$C$505))</f>
        <v>31</v>
      </c>
      <c r="F37" s="7" cm="1">
        <f t="array" ref="F37">_xlfn.XLOOKUP(1, (Лист2!$A$2:$A$505=A37)*(Лист2!$B$2:$B$505=B37), Лист2!$D$2:$D$505)</f>
        <v>5378</v>
      </c>
      <c r="G37" s="7" cm="1">
        <f t="array" ref="G37">_xlfn.XLOOKUP(1, (Лист2!$A$2:$A$505=A37)*(Лист2!$B$2:$B$505=B37), Лист2!$E$2:$E$505)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5">
      <c r="A38" s="5">
        <v>43953</v>
      </c>
      <c r="B38" s="6" t="s">
        <v>11</v>
      </c>
      <c r="C38" s="6">
        <v>60463.5</v>
      </c>
      <c r="D38" s="6">
        <v>5554192.5</v>
      </c>
      <c r="E38" s="7" cm="1">
        <f t="array" ref="E38">_xlfn.XLOOKUP(1,(Лист2!$A$2:$A$505=A38)*(Лист2!$B$2:$B$505=B38),(Лист2!$C$2:$C$505))</f>
        <v>31</v>
      </c>
      <c r="F38" s="7" cm="1">
        <f t="array" ref="F38">_xlfn.XLOOKUP(1, (Лист2!$A$2:$A$505=A38)*(Лист2!$B$2:$B$505=B38), Лист2!$D$2:$D$505)</f>
        <v>4157</v>
      </c>
      <c r="G38" s="7" cm="1">
        <f t="array" ref="G38">_xlfn.XLOOKUP(1, (Лист2!$A$2:$A$505=A38)*(Лист2!$B$2:$B$505=B38), Лист2!$E$2:$E$505)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5">
      <c r="A39" s="8">
        <v>43977</v>
      </c>
      <c r="B39" s="9" t="s">
        <v>11</v>
      </c>
      <c r="C39" s="9">
        <v>79975.5</v>
      </c>
      <c r="D39" s="9">
        <v>6676459.5</v>
      </c>
      <c r="E39" s="7" cm="1">
        <f t="array" ref="E39">_xlfn.XLOOKUP(1,(Лист2!$A$2:$A$505=A39)*(Лист2!$B$2:$B$505=B39),(Лист2!$C$2:$C$505))</f>
        <v>31</v>
      </c>
      <c r="F39" s="7" cm="1">
        <f t="array" ref="F39">_xlfn.XLOOKUP(1, (Лист2!$A$2:$A$505=A39)*(Лист2!$B$2:$B$505=B39), Лист2!$D$2:$D$505)</f>
        <v>5493</v>
      </c>
      <c r="G39" s="7" cm="1">
        <f t="array" ref="G39">_xlfn.XLOOKUP(1, (Лист2!$A$2:$A$505=A39)*(Лист2!$B$2:$B$505=B39), Лист2!$E$2:$E$505)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5">
      <c r="A40" s="5">
        <v>43952</v>
      </c>
      <c r="B40" s="6" t="s">
        <v>11</v>
      </c>
      <c r="C40" s="6">
        <v>97534.5</v>
      </c>
      <c r="D40" s="6">
        <v>8893024.5</v>
      </c>
      <c r="E40" s="7" cm="1">
        <f t="array" ref="E40">_xlfn.XLOOKUP(1,(Лист2!$A$2:$A$505=A40)*(Лист2!$B$2:$B$505=B40),(Лист2!$C$2:$C$505))</f>
        <v>31</v>
      </c>
      <c r="F40" s="7" cm="1">
        <f t="array" ref="F40">_xlfn.XLOOKUP(1, (Лист2!$A$2:$A$505=A40)*(Лист2!$B$2:$B$505=B40), Лист2!$D$2:$D$505)</f>
        <v>6118</v>
      </c>
      <c r="G40" s="7" cm="1">
        <f t="array" ref="G40">_xlfn.XLOOKUP(1, (Лист2!$A$2:$A$505=A40)*(Лист2!$B$2:$B$505=B40), Лист2!$E$2:$E$505)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5">
      <c r="A41" s="8">
        <v>43963</v>
      </c>
      <c r="B41" s="9" t="s">
        <v>11</v>
      </c>
      <c r="C41" s="9">
        <v>71520</v>
      </c>
      <c r="D41" s="9">
        <v>6398361</v>
      </c>
      <c r="E41" s="7" cm="1">
        <f t="array" ref="E41">_xlfn.XLOOKUP(1,(Лист2!$A$2:$A$505=A41)*(Лист2!$B$2:$B$505=B41),(Лист2!$C$2:$C$505))</f>
        <v>31</v>
      </c>
      <c r="F41" s="7" cm="1">
        <f t="array" ref="F41">_xlfn.XLOOKUP(1, (Лист2!$A$2:$A$505=A41)*(Лист2!$B$2:$B$505=B41), Лист2!$D$2:$D$505)</f>
        <v>4800</v>
      </c>
      <c r="G41" s="7" cm="1">
        <f t="array" ref="G41">_xlfn.XLOOKUP(1, (Лист2!$A$2:$A$505=A41)*(Лист2!$B$2:$B$505=B41), Лист2!$E$2:$E$505)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5">
      <c r="A42" s="5">
        <v>43972</v>
      </c>
      <c r="B42" s="6" t="s">
        <v>11</v>
      </c>
      <c r="C42" s="6">
        <v>79485</v>
      </c>
      <c r="D42" s="6">
        <v>6633847.5</v>
      </c>
      <c r="E42" s="7" cm="1">
        <f t="array" ref="E42">_xlfn.XLOOKUP(1,(Лист2!$A$2:$A$505=A42)*(Лист2!$B$2:$B$505=B42),(Лист2!$C$2:$C$505))</f>
        <v>31</v>
      </c>
      <c r="F42" s="7" cm="1">
        <f t="array" ref="F42">_xlfn.XLOOKUP(1, (Лист2!$A$2:$A$505=A42)*(Лист2!$B$2:$B$505=B42), Лист2!$D$2:$D$505)</f>
        <v>5207</v>
      </c>
      <c r="G42" s="7" cm="1">
        <f t="array" ref="G42">_xlfn.XLOOKUP(1, (Лист2!$A$2:$A$505=A42)*(Лист2!$B$2:$B$505=B42), Лист2!$E$2:$E$505)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5">
      <c r="A43" s="8">
        <v>43971</v>
      </c>
      <c r="B43" s="9" t="s">
        <v>11</v>
      </c>
      <c r="C43" s="9">
        <v>93313.5</v>
      </c>
      <c r="D43" s="9">
        <v>7247575.5</v>
      </c>
      <c r="E43" s="7" cm="1">
        <f t="array" ref="E43">_xlfn.XLOOKUP(1,(Лист2!$A$2:$A$505=A43)*(Лист2!$B$2:$B$505=B43),(Лист2!$C$2:$C$505))</f>
        <v>31</v>
      </c>
      <c r="F43" s="7" cm="1">
        <f t="array" ref="F43">_xlfn.XLOOKUP(1, (Лист2!$A$2:$A$505=A43)*(Лист2!$B$2:$B$505=B43), Лист2!$D$2:$D$505)</f>
        <v>5698</v>
      </c>
      <c r="G43" s="7" cm="1">
        <f t="array" ref="G43">_xlfn.XLOOKUP(1, (Лист2!$A$2:$A$505=A43)*(Лист2!$B$2:$B$505=B43), Лист2!$E$2:$E$505)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5">
      <c r="A44" s="5">
        <v>43956</v>
      </c>
      <c r="B44" s="6" t="s">
        <v>11</v>
      </c>
      <c r="C44" s="6">
        <v>76585.5</v>
      </c>
      <c r="D44" s="6">
        <v>6921316.5</v>
      </c>
      <c r="E44" s="7" cm="1">
        <f t="array" ref="E44">_xlfn.XLOOKUP(1,(Лист2!$A$2:$A$505=A44)*(Лист2!$B$2:$B$505=B44),(Лист2!$C$2:$C$505))</f>
        <v>31</v>
      </c>
      <c r="F44" s="7" cm="1">
        <f t="array" ref="F44">_xlfn.XLOOKUP(1, (Лист2!$A$2:$A$505=A44)*(Лист2!$B$2:$B$505=B44), Лист2!$D$2:$D$505)</f>
        <v>5188</v>
      </c>
      <c r="G44" s="7" cm="1">
        <f t="array" ref="G44">_xlfn.XLOOKUP(1, (Лист2!$A$2:$A$505=A44)*(Лист2!$B$2:$B$505=B44), Лист2!$E$2:$E$505)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5">
      <c r="A45" s="8">
        <v>43949</v>
      </c>
      <c r="B45" s="9" t="s">
        <v>11</v>
      </c>
      <c r="C45" s="9">
        <v>81826.5</v>
      </c>
      <c r="D45" s="9">
        <v>7163644.5</v>
      </c>
      <c r="E45" s="7" cm="1">
        <f t="array" ref="E45">_xlfn.XLOOKUP(1,(Лист2!$A$2:$A$505=A45)*(Лист2!$B$2:$B$505=B45),(Лист2!$C$2:$C$505))</f>
        <v>31</v>
      </c>
      <c r="F45" s="7" cm="1">
        <f t="array" ref="F45">_xlfn.XLOOKUP(1, (Лист2!$A$2:$A$505=A45)*(Лист2!$B$2:$B$505=B45), Лист2!$D$2:$D$505)</f>
        <v>5465</v>
      </c>
      <c r="G45" s="7" cm="1">
        <f t="array" ref="G45">_xlfn.XLOOKUP(1, (Лист2!$A$2:$A$505=A45)*(Лист2!$B$2:$B$505=B45), Лист2!$E$2:$E$505)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5">
      <c r="A46" s="5">
        <v>43964</v>
      </c>
      <c r="B46" s="6" t="s">
        <v>11</v>
      </c>
      <c r="C46" s="6">
        <v>78846</v>
      </c>
      <c r="D46" s="6">
        <v>6993952.5</v>
      </c>
      <c r="E46" s="7" cm="1">
        <f t="array" ref="E46">_xlfn.XLOOKUP(1,(Лист2!$A$2:$A$505=A46)*(Лист2!$B$2:$B$505=B46),(Лист2!$C$2:$C$505))</f>
        <v>31</v>
      </c>
      <c r="F46" s="7" cm="1">
        <f t="array" ref="F46">_xlfn.XLOOKUP(1, (Лист2!$A$2:$A$505=A46)*(Лист2!$B$2:$B$505=B46), Лист2!$D$2:$D$505)</f>
        <v>5251</v>
      </c>
      <c r="G46" s="7" cm="1">
        <f t="array" ref="G46">_xlfn.XLOOKUP(1, (Лист2!$A$2:$A$505=A46)*(Лист2!$B$2:$B$505=B46), Лист2!$E$2:$E$505)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5">
      <c r="A47" s="8">
        <v>43954</v>
      </c>
      <c r="B47" s="9" t="s">
        <v>11</v>
      </c>
      <c r="C47" s="9">
        <v>77263.5</v>
      </c>
      <c r="D47" s="9">
        <v>7013670</v>
      </c>
      <c r="E47" s="7" cm="1">
        <f t="array" ref="E47">_xlfn.XLOOKUP(1,(Лист2!$A$2:$A$505=A47)*(Лист2!$B$2:$B$505=B47),(Лист2!$C$2:$C$505))</f>
        <v>31</v>
      </c>
      <c r="F47" s="7" cm="1">
        <f t="array" ref="F47">_xlfn.XLOOKUP(1, (Лист2!$A$2:$A$505=A47)*(Лист2!$B$2:$B$505=B47), Лист2!$D$2:$D$505)</f>
        <v>5155</v>
      </c>
      <c r="G47" s="7" cm="1">
        <f t="array" ref="G47">_xlfn.XLOOKUP(1, (Лист2!$A$2:$A$505=A47)*(Лист2!$B$2:$B$505=B47), Лист2!$E$2:$E$505)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35">
      <c r="A48" s="5">
        <v>43957</v>
      </c>
      <c r="B48" s="6" t="s">
        <v>11</v>
      </c>
      <c r="C48" s="6">
        <v>68994</v>
      </c>
      <c r="D48" s="6">
        <v>6168657</v>
      </c>
      <c r="E48" s="7" cm="1">
        <f t="array" ref="E48">_xlfn.XLOOKUP(1,(Лист2!$A$2:$A$505=A48)*(Лист2!$B$2:$B$505=B48),(Лист2!$C$2:$C$505))</f>
        <v>31</v>
      </c>
      <c r="F48" s="7" cm="1">
        <f t="array" ref="F48">_xlfn.XLOOKUP(1, (Лист2!$A$2:$A$505=A48)*(Лист2!$B$2:$B$505=B48), Лист2!$D$2:$D$505)</f>
        <v>4709</v>
      </c>
      <c r="G48" s="7" cm="1">
        <f t="array" ref="G48">_xlfn.XLOOKUP(1, (Лист2!$A$2:$A$505=A48)*(Лист2!$B$2:$B$505=B48), Лист2!$E$2:$E$505)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5">
      <c r="A49" s="8">
        <v>43974</v>
      </c>
      <c r="B49" s="9" t="s">
        <v>11</v>
      </c>
      <c r="C49" s="9">
        <v>102889.5</v>
      </c>
      <c r="D49" s="9">
        <v>8089143</v>
      </c>
      <c r="E49" s="7" cm="1">
        <f t="array" ref="E49">_xlfn.XLOOKUP(1,(Лист2!$A$2:$A$505=A49)*(Лист2!$B$2:$B$505=B49),(Лист2!$C$2:$C$505))</f>
        <v>31</v>
      </c>
      <c r="F49" s="7" cm="1">
        <f t="array" ref="F49">_xlfn.XLOOKUP(1, (Лист2!$A$2:$A$505=A49)*(Лист2!$B$2:$B$505=B49), Лист2!$D$2:$D$505)</f>
        <v>6276</v>
      </c>
      <c r="G49" s="7" cm="1">
        <f t="array" ref="G49">_xlfn.XLOOKUP(1, (Лист2!$A$2:$A$505=A49)*(Лист2!$B$2:$B$505=B49), Лист2!$E$2:$E$505)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5">
      <c r="A50" s="5">
        <v>43976</v>
      </c>
      <c r="B50" s="6" t="s">
        <v>11</v>
      </c>
      <c r="C50" s="6">
        <v>76999.5</v>
      </c>
      <c r="D50" s="6">
        <v>6645603</v>
      </c>
      <c r="E50" s="7" cm="1">
        <f t="array" ref="E50">_xlfn.XLOOKUP(1,(Лист2!$A$2:$A$505=A50)*(Лист2!$B$2:$B$505=B50),(Лист2!$C$2:$C$505))</f>
        <v>31</v>
      </c>
      <c r="F50" s="7" cm="1">
        <f t="array" ref="F50">_xlfn.XLOOKUP(1, (Лист2!$A$2:$A$505=A50)*(Лист2!$B$2:$B$505=B50), Лист2!$D$2:$D$505)</f>
        <v>5210</v>
      </c>
      <c r="G50" s="7" cm="1">
        <f t="array" ref="G50">_xlfn.XLOOKUP(1, (Лист2!$A$2:$A$505=A50)*(Лист2!$B$2:$B$505=B50), Лист2!$E$2:$E$505)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5">
      <c r="A51" s="8">
        <v>43951</v>
      </c>
      <c r="B51" s="9" t="s">
        <v>11</v>
      </c>
      <c r="C51" s="9">
        <v>77565</v>
      </c>
      <c r="D51" s="9">
        <v>7023727.5</v>
      </c>
      <c r="E51" s="7" cm="1">
        <f t="array" ref="E51">_xlfn.XLOOKUP(1,(Лист2!$A$2:$A$505=A51)*(Лист2!$B$2:$B$505=B51),(Лист2!$C$2:$C$505))</f>
        <v>31</v>
      </c>
      <c r="F51" s="7" cm="1">
        <f t="array" ref="F51">_xlfn.XLOOKUP(1, (Лист2!$A$2:$A$505=A51)*(Лист2!$B$2:$B$505=B51), Лист2!$D$2:$D$505)</f>
        <v>5120</v>
      </c>
      <c r="G51" s="7" cm="1">
        <f t="array" ref="G51">_xlfn.XLOOKUP(1, (Лист2!$A$2:$A$505=A51)*(Лист2!$B$2:$B$505=B51), Лист2!$E$2:$E$505)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5">
      <c r="A52" s="5">
        <v>43961</v>
      </c>
      <c r="B52" s="6" t="s">
        <v>11</v>
      </c>
      <c r="C52" s="6">
        <v>84132</v>
      </c>
      <c r="D52" s="6">
        <v>7483194</v>
      </c>
      <c r="E52" s="7" cm="1">
        <f t="array" ref="E52">_xlfn.XLOOKUP(1,(Лист2!$A$2:$A$505=A52)*(Лист2!$B$2:$B$505=B52),(Лист2!$C$2:$C$505))</f>
        <v>31</v>
      </c>
      <c r="F52" s="7" cm="1">
        <f t="array" ref="F52">_xlfn.XLOOKUP(1, (Лист2!$A$2:$A$505=A52)*(Лист2!$B$2:$B$505=B52), Лист2!$D$2:$D$505)</f>
        <v>5495</v>
      </c>
      <c r="G52" s="7" cm="1">
        <f t="array" ref="G52">_xlfn.XLOOKUP(1, (Лист2!$A$2:$A$505=A52)*(Лист2!$B$2:$B$505=B52), Лист2!$E$2:$E$505)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35">
      <c r="A53" s="8">
        <v>43959</v>
      </c>
      <c r="B53" s="9" t="s">
        <v>11</v>
      </c>
      <c r="C53" s="9">
        <v>69544.5</v>
      </c>
      <c r="D53" s="9">
        <v>6293776.5</v>
      </c>
      <c r="E53" s="7" cm="1">
        <f t="array" ref="E53">_xlfn.XLOOKUP(1,(Лист2!$A$2:$A$505=A53)*(Лист2!$B$2:$B$505=B53),(Лист2!$C$2:$C$505))</f>
        <v>31</v>
      </c>
      <c r="F53" s="7" cm="1">
        <f t="array" ref="F53">_xlfn.XLOOKUP(1, (Лист2!$A$2:$A$505=A53)*(Лист2!$B$2:$B$505=B53), Лист2!$D$2:$D$505)</f>
        <v>4635</v>
      </c>
      <c r="G53" s="7" cm="1">
        <f t="array" ref="G53">_xlfn.XLOOKUP(1, (Лист2!$A$2:$A$505=A53)*(Лист2!$B$2:$B$505=B53), Лист2!$E$2:$E$505)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5">
      <c r="A54" s="5">
        <v>43958</v>
      </c>
      <c r="B54" s="6" t="s">
        <v>11</v>
      </c>
      <c r="C54" s="6">
        <v>73204.5</v>
      </c>
      <c r="D54" s="6">
        <v>6591883.5</v>
      </c>
      <c r="E54" s="7" cm="1">
        <f t="array" ref="E54">_xlfn.XLOOKUP(1,(Лист2!$A$2:$A$505=A54)*(Лист2!$B$2:$B$505=B54),(Лист2!$C$2:$C$505))</f>
        <v>31</v>
      </c>
      <c r="F54" s="7" cm="1">
        <f t="array" ref="F54">_xlfn.XLOOKUP(1, (Лист2!$A$2:$A$505=A54)*(Лист2!$B$2:$B$505=B54), Лист2!$D$2:$D$505)</f>
        <v>4903</v>
      </c>
      <c r="G54" s="7" cm="1">
        <f t="array" ref="G54">_xlfn.XLOOKUP(1, (Лист2!$A$2:$A$505=A54)*(Лист2!$B$2:$B$505=B54), Лист2!$E$2:$E$505)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5">
      <c r="A55" s="8">
        <v>43975</v>
      </c>
      <c r="B55" s="9" t="s">
        <v>11</v>
      </c>
      <c r="C55" s="9">
        <v>76663.5</v>
      </c>
      <c r="D55" s="9">
        <v>6451032</v>
      </c>
      <c r="E55" s="7" cm="1">
        <f t="array" ref="E55">_xlfn.XLOOKUP(1,(Лист2!$A$2:$A$505=A55)*(Лист2!$B$2:$B$505=B55),(Лист2!$C$2:$C$505))</f>
        <v>31</v>
      </c>
      <c r="F55" s="7" cm="1">
        <f t="array" ref="F55">_xlfn.XLOOKUP(1, (Лист2!$A$2:$A$505=A55)*(Лист2!$B$2:$B$505=B55), Лист2!$D$2:$D$505)</f>
        <v>5035</v>
      </c>
      <c r="G55" s="7" cm="1">
        <f t="array" ref="G55">_xlfn.XLOOKUP(1, (Лист2!$A$2:$A$505=A55)*(Лист2!$B$2:$B$505=B55), Лист2!$E$2:$E$505)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35">
      <c r="A56" s="5">
        <v>43967</v>
      </c>
      <c r="B56" s="6" t="s">
        <v>12</v>
      </c>
      <c r="C56" s="6">
        <v>14265</v>
      </c>
      <c r="D56" s="6">
        <v>1130506.5</v>
      </c>
      <c r="E56" s="7" cm="1">
        <f t="array" ref="E56">_xlfn.XLOOKUP(1,(Лист2!$A$2:$A$505=A56)*(Лист2!$B$2:$B$505=B56),(Лист2!$C$2:$C$505))</f>
        <v>10</v>
      </c>
      <c r="F56" s="7" cm="1">
        <f t="array" ref="F56">_xlfn.XLOOKUP(1, (Лист2!$A$2:$A$505=A56)*(Лист2!$B$2:$B$505=B56), Лист2!$D$2:$D$505)</f>
        <v>760</v>
      </c>
      <c r="G56" s="7" cm="1">
        <f t="array" ref="G56">_xlfn.XLOOKUP(1, (Лист2!$A$2:$A$505=A56)*(Лист2!$B$2:$B$505=B56), Лист2!$E$2:$E$505)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5">
      <c r="A57" s="8">
        <v>43970</v>
      </c>
      <c r="B57" s="9" t="s">
        <v>12</v>
      </c>
      <c r="C57" s="9">
        <v>11526</v>
      </c>
      <c r="D57" s="9">
        <v>938764.5</v>
      </c>
      <c r="E57" s="7" cm="1">
        <f t="array" ref="E57">_xlfn.XLOOKUP(1,(Лист2!$A$2:$A$505=A57)*(Лист2!$B$2:$B$505=B57),(Лист2!$C$2:$C$505))</f>
        <v>10</v>
      </c>
      <c r="F57" s="7" cm="1">
        <f t="array" ref="F57">_xlfn.XLOOKUP(1, (Лист2!$A$2:$A$505=A57)*(Лист2!$B$2:$B$505=B57), Лист2!$D$2:$D$505)</f>
        <v>649</v>
      </c>
      <c r="G57" s="7" cm="1">
        <f t="array" ref="G57">_xlfn.XLOOKUP(1, (Лист2!$A$2:$A$505=A57)*(Лист2!$B$2:$B$505=B57), Лист2!$E$2:$E$505)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5">
      <c r="A58" s="5">
        <v>43968</v>
      </c>
      <c r="B58" s="6" t="s">
        <v>12</v>
      </c>
      <c r="C58" s="6">
        <v>10402.5</v>
      </c>
      <c r="D58" s="6">
        <v>843727.5</v>
      </c>
      <c r="E58" s="7" cm="1">
        <f t="array" ref="E58">_xlfn.XLOOKUP(1,(Лист2!$A$2:$A$505=A58)*(Лист2!$B$2:$B$505=B58),(Лист2!$C$2:$C$505))</f>
        <v>10</v>
      </c>
      <c r="F58" s="7" cm="1">
        <f t="array" ref="F58">_xlfn.XLOOKUP(1, (Лист2!$A$2:$A$505=A58)*(Лист2!$B$2:$B$505=B58), Лист2!$D$2:$D$505)</f>
        <v>591</v>
      </c>
      <c r="G58" s="7" cm="1">
        <f t="array" ref="G58">_xlfn.XLOOKUP(1, (Лист2!$A$2:$A$505=A58)*(Лист2!$B$2:$B$505=B58), Лист2!$E$2:$E$505)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35">
      <c r="A59" s="8">
        <v>43960</v>
      </c>
      <c r="B59" s="9" t="s">
        <v>12</v>
      </c>
      <c r="C59" s="9">
        <v>13216.5</v>
      </c>
      <c r="D59" s="9">
        <v>1046400</v>
      </c>
      <c r="E59" s="7" cm="1">
        <f t="array" ref="E59">_xlfn.XLOOKUP(1,(Лист2!$A$2:$A$505=A59)*(Лист2!$B$2:$B$505=B59),(Лист2!$C$2:$C$505))</f>
        <v>10</v>
      </c>
      <c r="F59" s="7" cm="1">
        <f t="array" ref="F59">_xlfn.XLOOKUP(1, (Лист2!$A$2:$A$505=A59)*(Лист2!$B$2:$B$505=B59), Лист2!$D$2:$D$505)</f>
        <v>644</v>
      </c>
      <c r="G59" s="7" cm="1">
        <f t="array" ref="G59">_xlfn.XLOOKUP(1, (Лист2!$A$2:$A$505=A59)*(Лист2!$B$2:$B$505=B59), Лист2!$E$2:$E$505)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5">
      <c r="A60" s="5">
        <v>43955</v>
      </c>
      <c r="B60" s="6" t="s">
        <v>12</v>
      </c>
      <c r="C60" s="6">
        <v>9130.5</v>
      </c>
      <c r="D60" s="6">
        <v>728890.5</v>
      </c>
      <c r="E60" s="7" cm="1">
        <f t="array" ref="E60">_xlfn.XLOOKUP(1,(Лист2!$A$2:$A$505=A60)*(Лист2!$B$2:$B$505=B60),(Лист2!$C$2:$C$505))</f>
        <v>10</v>
      </c>
      <c r="F60" s="7" cm="1">
        <f t="array" ref="F60">_xlfn.XLOOKUP(1, (Лист2!$A$2:$A$505=A60)*(Лист2!$B$2:$B$505=B60), Лист2!$D$2:$D$505)</f>
        <v>462</v>
      </c>
      <c r="G60" s="7" cm="1">
        <f t="array" ref="G60">_xlfn.XLOOKUP(1, (Лист2!$A$2:$A$505=A60)*(Лист2!$B$2:$B$505=B60), Лист2!$E$2:$E$505)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5">
      <c r="A61" s="8">
        <v>43950</v>
      </c>
      <c r="B61" s="9" t="s">
        <v>12</v>
      </c>
      <c r="C61" s="9">
        <v>10840.5</v>
      </c>
      <c r="D61" s="9">
        <v>797919</v>
      </c>
      <c r="E61" s="7" cm="1">
        <f t="array" ref="E61">_xlfn.XLOOKUP(1,(Лист2!$A$2:$A$505=A61)*(Лист2!$B$2:$B$505=B61),(Лист2!$C$2:$C$505))</f>
        <v>10</v>
      </c>
      <c r="F61" s="7" cm="1">
        <f t="array" ref="F61">_xlfn.XLOOKUP(1, (Лист2!$A$2:$A$505=A61)*(Лист2!$B$2:$B$505=B61), Лист2!$D$2:$D$505)</f>
        <v>502</v>
      </c>
      <c r="G61" s="7" cm="1">
        <f t="array" ref="G61">_xlfn.XLOOKUP(1, (Лист2!$A$2:$A$505=A61)*(Лист2!$B$2:$B$505=B61), Лист2!$E$2:$E$505)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5">
      <c r="A62" s="5">
        <v>43953</v>
      </c>
      <c r="B62" s="6" t="s">
        <v>12</v>
      </c>
      <c r="C62" s="6">
        <v>7866</v>
      </c>
      <c r="D62" s="6">
        <v>617881.5</v>
      </c>
      <c r="E62" s="7" cm="1">
        <f t="array" ref="E62">_xlfn.XLOOKUP(1,(Лист2!$A$2:$A$505=A62)*(Лист2!$B$2:$B$505=B62),(Лист2!$C$2:$C$505))</f>
        <v>10</v>
      </c>
      <c r="F62" s="7" cm="1">
        <f t="array" ref="F62">_xlfn.XLOOKUP(1, (Лист2!$A$2:$A$505=A62)*(Лист2!$B$2:$B$505=B62), Лист2!$D$2:$D$505)</f>
        <v>416</v>
      </c>
      <c r="G62" s="7" cm="1">
        <f t="array" ref="G62">_xlfn.XLOOKUP(1, (Лист2!$A$2:$A$505=A62)*(Лист2!$B$2:$B$505=B62), Лист2!$E$2:$E$505)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5">
      <c r="A63" s="8">
        <v>43977</v>
      </c>
      <c r="B63" s="9" t="s">
        <v>12</v>
      </c>
      <c r="C63" s="9">
        <v>11835</v>
      </c>
      <c r="D63" s="9">
        <v>983109</v>
      </c>
      <c r="E63" s="7" cm="1">
        <f t="array" ref="E63">_xlfn.XLOOKUP(1,(Лист2!$A$2:$A$505=A63)*(Лист2!$B$2:$B$505=B63),(Лист2!$C$2:$C$505))</f>
        <v>10</v>
      </c>
      <c r="F63" s="7" cm="1">
        <f t="array" ref="F63">_xlfn.XLOOKUP(1, (Лист2!$A$2:$A$505=A63)*(Лист2!$B$2:$B$505=B63), Лист2!$D$2:$D$505)</f>
        <v>692</v>
      </c>
      <c r="G63" s="7" cm="1">
        <f t="array" ref="G63">_xlfn.XLOOKUP(1, (Лист2!$A$2:$A$505=A63)*(Лист2!$B$2:$B$505=B63), Лист2!$E$2:$E$505)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5">
      <c r="A64" s="5">
        <v>43952</v>
      </c>
      <c r="B64" s="6" t="s">
        <v>12</v>
      </c>
      <c r="C64" s="6">
        <v>11619</v>
      </c>
      <c r="D64" s="6">
        <v>891139.5</v>
      </c>
      <c r="E64" s="7" cm="1">
        <f t="array" ref="E64">_xlfn.XLOOKUP(1,(Лист2!$A$2:$A$505=A64)*(Лист2!$B$2:$B$505=B64),(Лист2!$C$2:$C$505))</f>
        <v>10</v>
      </c>
      <c r="F64" s="7" cm="1">
        <f t="array" ref="F64">_xlfn.XLOOKUP(1, (Лист2!$A$2:$A$505=A64)*(Лист2!$B$2:$B$505=B64), Лист2!$D$2:$D$505)</f>
        <v>554</v>
      </c>
      <c r="G64" s="7" cm="1">
        <f t="array" ref="G64">_xlfn.XLOOKUP(1, (Лист2!$A$2:$A$505=A64)*(Лист2!$B$2:$B$505=B64), Лист2!$E$2:$E$505)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5">
      <c r="A65" s="8">
        <v>43963</v>
      </c>
      <c r="B65" s="9" t="s">
        <v>12</v>
      </c>
      <c r="C65" s="9">
        <v>9328.5</v>
      </c>
      <c r="D65" s="9">
        <v>732964.5</v>
      </c>
      <c r="E65" s="7" cm="1">
        <f t="array" ref="E65">_xlfn.XLOOKUP(1,(Лист2!$A$2:$A$505=A65)*(Лист2!$B$2:$B$505=B65),(Лист2!$C$2:$C$505))</f>
        <v>10</v>
      </c>
      <c r="F65" s="7" cm="1">
        <f t="array" ref="F65">_xlfn.XLOOKUP(1, (Лист2!$A$2:$A$505=A65)*(Лист2!$B$2:$B$505=B65), Лист2!$D$2:$D$505)</f>
        <v>526</v>
      </c>
      <c r="G65" s="7" cm="1">
        <f t="array" ref="G65">_xlfn.XLOOKUP(1, (Лист2!$A$2:$A$505=A65)*(Лист2!$B$2:$B$505=B65), Лист2!$E$2:$E$505)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5">
      <c r="A66" s="5">
        <v>43972</v>
      </c>
      <c r="B66" s="6" t="s">
        <v>12</v>
      </c>
      <c r="C66" s="6">
        <v>11250</v>
      </c>
      <c r="D66" s="6">
        <v>935523</v>
      </c>
      <c r="E66" s="7" cm="1">
        <f t="array" ref="E66">_xlfn.XLOOKUP(1,(Лист2!$A$2:$A$505=A66)*(Лист2!$B$2:$B$505=B66),(Лист2!$C$2:$C$505))</f>
        <v>10</v>
      </c>
      <c r="F66" s="7" cm="1">
        <f t="array" ref="F66">_xlfn.XLOOKUP(1, (Лист2!$A$2:$A$505=A66)*(Лист2!$B$2:$B$505=B66), Лист2!$D$2:$D$505)</f>
        <v>677</v>
      </c>
      <c r="G66" s="7" cm="1">
        <f t="array" ref="G66">_xlfn.XLOOKUP(1, (Лист2!$A$2:$A$505=A66)*(Лист2!$B$2:$B$505=B66), Лист2!$E$2:$E$505)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35">
      <c r="A67" s="8">
        <v>43971</v>
      </c>
      <c r="B67" s="9" t="s">
        <v>12</v>
      </c>
      <c r="C67" s="9">
        <v>13063.5</v>
      </c>
      <c r="D67" s="9">
        <v>1037247</v>
      </c>
      <c r="E67" s="7" cm="1">
        <f t="array" ref="E67">_xlfn.XLOOKUP(1,(Лист2!$A$2:$A$505=A67)*(Лист2!$B$2:$B$505=B67),(Лист2!$C$2:$C$505))</f>
        <v>10</v>
      </c>
      <c r="F67" s="7" cm="1">
        <f t="array" ref="F67">_xlfn.XLOOKUP(1, (Лист2!$A$2:$A$505=A67)*(Лист2!$B$2:$B$505=B67), Лист2!$D$2:$D$505)</f>
        <v>745</v>
      </c>
      <c r="G67" s="7" cm="1">
        <f t="array" ref="G67">_xlfn.XLOOKUP(1, (Лист2!$A$2:$A$505=A67)*(Лист2!$B$2:$B$505=B67), Лист2!$E$2:$E$505)</f>
        <v>654</v>
      </c>
      <c r="H67">
        <f t="shared" ref="H67:H130" si="2">D67/E67</f>
        <v>103724.7</v>
      </c>
      <c r="I67">
        <f t="shared" ref="I67:I130" si="3">_xlfn.ISOWEEKNUM(A67)</f>
        <v>21</v>
      </c>
    </row>
    <row r="68" spans="1:9" ht="14.25" customHeight="1" x14ac:dyDescent="0.35">
      <c r="A68" s="5">
        <v>43956</v>
      </c>
      <c r="B68" s="6" t="s">
        <v>12</v>
      </c>
      <c r="C68" s="6">
        <v>10147.5</v>
      </c>
      <c r="D68" s="6">
        <v>793320</v>
      </c>
      <c r="E68" s="7" cm="1">
        <f t="array" ref="E68">_xlfn.XLOOKUP(1,(Лист2!$A$2:$A$505=A68)*(Лист2!$B$2:$B$505=B68),(Лист2!$C$2:$C$505))</f>
        <v>10</v>
      </c>
      <c r="F68" s="7" cm="1">
        <f t="array" ref="F68">_xlfn.XLOOKUP(1, (Лист2!$A$2:$A$505=A68)*(Лист2!$B$2:$B$505=B68), Лист2!$D$2:$D$505)</f>
        <v>511</v>
      </c>
      <c r="G68" s="7" cm="1">
        <f t="array" ref="G68">_xlfn.XLOOKUP(1, (Лист2!$A$2:$A$505=A68)*(Лист2!$B$2:$B$505=B68), Лист2!$E$2:$E$505)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5">
      <c r="A69" s="8">
        <v>43949</v>
      </c>
      <c r="B69" s="9" t="s">
        <v>12</v>
      </c>
      <c r="C69" s="9">
        <v>12331.5</v>
      </c>
      <c r="D69" s="9">
        <v>869983.5</v>
      </c>
      <c r="E69" s="7" cm="1">
        <f t="array" ref="E69">_xlfn.XLOOKUP(1,(Лист2!$A$2:$A$505=A69)*(Лист2!$B$2:$B$505=B69),(Лист2!$C$2:$C$505))</f>
        <v>10</v>
      </c>
      <c r="F69" s="7" cm="1">
        <f t="array" ref="F69">_xlfn.XLOOKUP(1, (Лист2!$A$2:$A$505=A69)*(Лист2!$B$2:$B$505=B69), Лист2!$D$2:$D$505)</f>
        <v>580</v>
      </c>
      <c r="G69" s="7" cm="1">
        <f t="array" ref="G69">_xlfn.XLOOKUP(1, (Лист2!$A$2:$A$505=A69)*(Лист2!$B$2:$B$505=B69), Лист2!$E$2:$E$505)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5">
      <c r="A70" s="5">
        <v>43964</v>
      </c>
      <c r="B70" s="6" t="s">
        <v>12</v>
      </c>
      <c r="C70" s="6">
        <v>11202</v>
      </c>
      <c r="D70" s="6">
        <v>865714.5</v>
      </c>
      <c r="E70" s="7" cm="1">
        <f t="array" ref="E70">_xlfn.XLOOKUP(1,(Лист2!$A$2:$A$505=A70)*(Лист2!$B$2:$B$505=B70),(Лист2!$C$2:$C$505))</f>
        <v>10</v>
      </c>
      <c r="F70" s="7" cm="1">
        <f t="array" ref="F70">_xlfn.XLOOKUP(1, (Лист2!$A$2:$A$505=A70)*(Лист2!$B$2:$B$505=B70), Лист2!$D$2:$D$505)</f>
        <v>612</v>
      </c>
      <c r="G70" s="7" cm="1">
        <f t="array" ref="G70">_xlfn.XLOOKUP(1, (Лист2!$A$2:$A$505=A70)*(Лист2!$B$2:$B$505=B70), Лист2!$E$2:$E$505)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5">
      <c r="A71" s="8">
        <v>43982</v>
      </c>
      <c r="B71" s="9" t="s">
        <v>11</v>
      </c>
      <c r="C71" s="9">
        <v>89149.5</v>
      </c>
      <c r="D71" s="9">
        <v>7512646.5</v>
      </c>
      <c r="E71" s="7" cm="1">
        <f t="array" ref="E71">_xlfn.XLOOKUP(1,(Лист2!$A$2:$A$505=A71)*(Лист2!$B$2:$B$505=B71),(Лист2!$C$2:$C$505))</f>
        <v>31</v>
      </c>
      <c r="F71" s="7" cm="1">
        <f t="array" ref="F71">_xlfn.XLOOKUP(1, (Лист2!$A$2:$A$505=A71)*(Лист2!$B$2:$B$505=B71), Лист2!$D$2:$D$505)</f>
        <v>5760</v>
      </c>
      <c r="G71" s="7" cm="1">
        <f t="array" ref="G71">_xlfn.XLOOKUP(1, (Лист2!$A$2:$A$505=A71)*(Лист2!$B$2:$B$505=B71), Лист2!$E$2:$E$505)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35">
      <c r="A72" s="5">
        <v>43954</v>
      </c>
      <c r="B72" s="6" t="s">
        <v>12</v>
      </c>
      <c r="C72" s="6">
        <v>8185.5</v>
      </c>
      <c r="D72" s="6">
        <v>637881</v>
      </c>
      <c r="E72" s="7" cm="1">
        <f t="array" ref="E72">_xlfn.XLOOKUP(1,(Лист2!$A$2:$A$505=A72)*(Лист2!$B$2:$B$505=B72),(Лист2!$C$2:$C$505))</f>
        <v>10</v>
      </c>
      <c r="F72" s="7" cm="1">
        <f t="array" ref="F72">_xlfn.XLOOKUP(1, (Лист2!$A$2:$A$505=A72)*(Лист2!$B$2:$B$505=B72), Лист2!$D$2:$D$505)</f>
        <v>402</v>
      </c>
      <c r="G72" s="7" cm="1">
        <f t="array" ref="G72">_xlfn.XLOOKUP(1, (Лист2!$A$2:$A$505=A72)*(Лист2!$B$2:$B$505=B72), Лист2!$E$2:$E$505)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35">
      <c r="A73" s="8">
        <v>43981</v>
      </c>
      <c r="B73" s="9" t="s">
        <v>11</v>
      </c>
      <c r="C73" s="9">
        <v>108123</v>
      </c>
      <c r="D73" s="9">
        <v>9164707.5</v>
      </c>
      <c r="E73" s="7" cm="1">
        <f t="array" ref="E73">_xlfn.XLOOKUP(1,(Лист2!$A$2:$A$505=A73)*(Лист2!$B$2:$B$505=B73),(Лист2!$C$2:$C$505))</f>
        <v>31</v>
      </c>
      <c r="F73" s="7" cm="1">
        <f t="array" ref="F73">_xlfn.XLOOKUP(1, (Лист2!$A$2:$A$505=A73)*(Лист2!$B$2:$B$505=B73), Лист2!$D$2:$D$505)</f>
        <v>6735</v>
      </c>
      <c r="G73" s="7" cm="1">
        <f t="array" ref="G73">_xlfn.XLOOKUP(1, (Лист2!$A$2:$A$505=A73)*(Лист2!$B$2:$B$505=B73), Лист2!$E$2:$E$505)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5">
      <c r="A74" s="5">
        <v>43957</v>
      </c>
      <c r="B74" s="6" t="s">
        <v>12</v>
      </c>
      <c r="C74" s="6">
        <v>9210</v>
      </c>
      <c r="D74" s="6">
        <v>696832.5</v>
      </c>
      <c r="E74" s="7" cm="1">
        <f t="array" ref="E74">_xlfn.XLOOKUP(1,(Лист2!$A$2:$A$505=A74)*(Лист2!$B$2:$B$505=B74),(Лист2!$C$2:$C$505))</f>
        <v>10</v>
      </c>
      <c r="F74" s="7" cm="1">
        <f t="array" ref="F74">_xlfn.XLOOKUP(1, (Лист2!$A$2:$A$505=A74)*(Лист2!$B$2:$B$505=B74), Лист2!$D$2:$D$505)</f>
        <v>465</v>
      </c>
      <c r="G74" s="7" cm="1">
        <f t="array" ref="G74">_xlfn.XLOOKUP(1, (Лист2!$A$2:$A$505=A74)*(Лист2!$B$2:$B$505=B74), Лист2!$E$2:$E$505)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5">
      <c r="A75" s="8">
        <v>43974</v>
      </c>
      <c r="B75" s="9" t="s">
        <v>12</v>
      </c>
      <c r="C75" s="9">
        <v>14773.5</v>
      </c>
      <c r="D75" s="9">
        <v>1241383.5</v>
      </c>
      <c r="E75" s="7" cm="1">
        <f t="array" ref="E75">_xlfn.XLOOKUP(1,(Лист2!$A$2:$A$505=A75)*(Лист2!$B$2:$B$505=B75),(Лист2!$C$2:$C$505))</f>
        <v>10</v>
      </c>
      <c r="F75" s="7" cm="1">
        <f t="array" ref="F75">_xlfn.XLOOKUP(1, (Лист2!$A$2:$A$505=A75)*(Лист2!$B$2:$B$505=B75), Лист2!$D$2:$D$505)</f>
        <v>828</v>
      </c>
      <c r="G75" s="7" cm="1">
        <f t="array" ref="G75">_xlfn.XLOOKUP(1, (Лист2!$A$2:$A$505=A75)*(Лист2!$B$2:$B$505=B75), Лист2!$E$2:$E$505)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5">
      <c r="A76" s="5">
        <v>43979</v>
      </c>
      <c r="B76" s="6" t="s">
        <v>11</v>
      </c>
      <c r="C76" s="6">
        <v>78141</v>
      </c>
      <c r="D76" s="6">
        <v>6641569.5</v>
      </c>
      <c r="E76" s="7" cm="1">
        <f t="array" ref="E76">_xlfn.XLOOKUP(1,(Лист2!$A$2:$A$505=A76)*(Лист2!$B$2:$B$505=B76),(Лист2!$C$2:$C$505))</f>
        <v>31</v>
      </c>
      <c r="F76" s="7" cm="1">
        <f t="array" ref="F76">_xlfn.XLOOKUP(1, (Лист2!$A$2:$A$505=A76)*(Лист2!$B$2:$B$505=B76), Лист2!$D$2:$D$505)</f>
        <v>5355</v>
      </c>
      <c r="G76" s="7" cm="1">
        <f t="array" ref="G76">_xlfn.XLOOKUP(1, (Лист2!$A$2:$A$505=A76)*(Лист2!$B$2:$B$505=B76), Лист2!$E$2:$E$505)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5">
      <c r="A77" s="8">
        <v>43976</v>
      </c>
      <c r="B77" s="9" t="s">
        <v>12</v>
      </c>
      <c r="C77" s="9">
        <v>12280.5</v>
      </c>
      <c r="D77" s="9">
        <v>1030440</v>
      </c>
      <c r="E77" s="7" cm="1">
        <f t="array" ref="E77">_xlfn.XLOOKUP(1,(Лист2!$A$2:$A$505=A77)*(Лист2!$B$2:$B$505=B77),(Лист2!$C$2:$C$505))</f>
        <v>10</v>
      </c>
      <c r="F77" s="7" cm="1">
        <f t="array" ref="F77">_xlfn.XLOOKUP(1, (Лист2!$A$2:$A$505=A77)*(Лист2!$B$2:$B$505=B77), Лист2!$D$2:$D$505)</f>
        <v>739</v>
      </c>
      <c r="G77" s="7" cm="1">
        <f t="array" ref="G77">_xlfn.XLOOKUP(1, (Лист2!$A$2:$A$505=A77)*(Лист2!$B$2:$B$505=B77), Лист2!$E$2:$E$505)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5">
      <c r="A78" s="5">
        <v>43951</v>
      </c>
      <c r="B78" s="6" t="s">
        <v>12</v>
      </c>
      <c r="C78" s="6">
        <v>8934</v>
      </c>
      <c r="D78" s="6">
        <v>716196</v>
      </c>
      <c r="E78" s="7" cm="1">
        <f t="array" ref="E78">_xlfn.XLOOKUP(1,(Лист2!$A$2:$A$505=A78)*(Лист2!$B$2:$B$505=B78),(Лист2!$C$2:$C$505))</f>
        <v>10</v>
      </c>
      <c r="F78" s="7" cm="1">
        <f t="array" ref="F78">_xlfn.XLOOKUP(1, (Лист2!$A$2:$A$505=A78)*(Лист2!$B$2:$B$505=B78), Лист2!$D$2:$D$505)</f>
        <v>448</v>
      </c>
      <c r="G78" s="7" cm="1">
        <f t="array" ref="G78">_xlfn.XLOOKUP(1, (Лист2!$A$2:$A$505=A78)*(Лист2!$B$2:$B$505=B78), Лист2!$E$2:$E$505)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5">
      <c r="A79" s="8">
        <v>43961</v>
      </c>
      <c r="B79" s="9" t="s">
        <v>12</v>
      </c>
      <c r="C79" s="9">
        <v>12918</v>
      </c>
      <c r="D79" s="9">
        <v>1004788.5</v>
      </c>
      <c r="E79" s="7" cm="1">
        <f t="array" ref="E79">_xlfn.XLOOKUP(1,(Лист2!$A$2:$A$505=A79)*(Лист2!$B$2:$B$505=B79),(Лист2!$C$2:$C$505))</f>
        <v>10</v>
      </c>
      <c r="F79" s="7" cm="1">
        <f t="array" ref="F79">_xlfn.XLOOKUP(1, (Лист2!$A$2:$A$505=A79)*(Лист2!$B$2:$B$505=B79), Лист2!$D$2:$D$505)</f>
        <v>642</v>
      </c>
      <c r="G79" s="7" cm="1">
        <f t="array" ref="G79">_xlfn.XLOOKUP(1, (Лист2!$A$2:$A$505=A79)*(Лист2!$B$2:$B$505=B79), Лист2!$E$2:$E$505)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35">
      <c r="A80" s="5">
        <v>43959</v>
      </c>
      <c r="B80" s="6" t="s">
        <v>12</v>
      </c>
      <c r="C80" s="6">
        <v>12528</v>
      </c>
      <c r="D80" s="6">
        <v>959703</v>
      </c>
      <c r="E80" s="7" cm="1">
        <f t="array" ref="E80">_xlfn.XLOOKUP(1,(Лист2!$A$2:$A$505=A80)*(Лист2!$B$2:$B$505=B80),(Лист2!$C$2:$C$505))</f>
        <v>10</v>
      </c>
      <c r="F80" s="7" cm="1">
        <f t="array" ref="F80">_xlfn.XLOOKUP(1, (Лист2!$A$2:$A$505=A80)*(Лист2!$B$2:$B$505=B80), Лист2!$D$2:$D$505)</f>
        <v>638</v>
      </c>
      <c r="G80" s="7" cm="1">
        <f t="array" ref="G80">_xlfn.XLOOKUP(1, (Лист2!$A$2:$A$505=A80)*(Лист2!$B$2:$B$505=B80), Лист2!$E$2:$E$505)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5">
      <c r="A81" s="8">
        <v>43958</v>
      </c>
      <c r="B81" s="9" t="s">
        <v>12</v>
      </c>
      <c r="C81" s="9">
        <v>11029.5</v>
      </c>
      <c r="D81" s="9">
        <v>863754</v>
      </c>
      <c r="E81" s="7" cm="1">
        <f t="array" ref="E81">_xlfn.XLOOKUP(1,(Лист2!$A$2:$A$505=A81)*(Лист2!$B$2:$B$505=B81),(Лист2!$C$2:$C$505))</f>
        <v>10</v>
      </c>
      <c r="F81" s="7" cm="1">
        <f t="array" ref="F81">_xlfn.XLOOKUP(1, (Лист2!$A$2:$A$505=A81)*(Лист2!$B$2:$B$505=B81), Лист2!$D$2:$D$505)</f>
        <v>563</v>
      </c>
      <c r="G81" s="7" cm="1">
        <f t="array" ref="G81">_xlfn.XLOOKUP(1, (Лист2!$A$2:$A$505=A81)*(Лист2!$B$2:$B$505=B81), Лист2!$E$2:$E$505)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5">
      <c r="A82" s="5">
        <v>43975</v>
      </c>
      <c r="B82" s="6" t="s">
        <v>12</v>
      </c>
      <c r="C82" s="6">
        <v>9994.5</v>
      </c>
      <c r="D82" s="6">
        <v>828984</v>
      </c>
      <c r="E82" s="7" cm="1">
        <f t="array" ref="E82">_xlfn.XLOOKUP(1,(Лист2!$A$2:$A$505=A82)*(Лист2!$B$2:$B$505=B82),(Лист2!$C$2:$C$505))</f>
        <v>10</v>
      </c>
      <c r="F82" s="7" cm="1">
        <f t="array" ref="F82">_xlfn.XLOOKUP(1, (Лист2!$A$2:$A$505=A82)*(Лист2!$B$2:$B$505=B82), Лист2!$D$2:$D$505)</f>
        <v>639</v>
      </c>
      <c r="G82" s="7" cm="1">
        <f t="array" ref="G82">_xlfn.XLOOKUP(1, (Лист2!$A$2:$A$505=A82)*(Лист2!$B$2:$B$505=B82), Лист2!$E$2:$E$505)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35">
      <c r="A83" s="8">
        <v>43982</v>
      </c>
      <c r="B83" s="9" t="s">
        <v>12</v>
      </c>
      <c r="C83" s="9">
        <v>12724.5</v>
      </c>
      <c r="D83" s="9">
        <v>1045515</v>
      </c>
      <c r="E83" s="7" cm="1">
        <f t="array" ref="E83">_xlfn.XLOOKUP(1,(Лист2!$A$2:$A$505=A83)*(Лист2!$B$2:$B$505=B83),(Лист2!$C$2:$C$505))</f>
        <v>10</v>
      </c>
      <c r="F83" s="7" cm="1">
        <f t="array" ref="F83">_xlfn.XLOOKUP(1, (Лист2!$A$2:$A$505=A83)*(Лист2!$B$2:$B$505=B83), Лист2!$D$2:$D$505)</f>
        <v>749</v>
      </c>
      <c r="G83" s="7" cm="1">
        <f t="array" ref="G83">_xlfn.XLOOKUP(1, (Лист2!$A$2:$A$505=A83)*(Лист2!$B$2:$B$505=B83), Лист2!$E$2:$E$505)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35">
      <c r="A84" s="5">
        <v>43981</v>
      </c>
      <c r="B84" s="6" t="s">
        <v>12</v>
      </c>
      <c r="C84" s="6">
        <v>14728.5</v>
      </c>
      <c r="D84" s="6">
        <v>1260483</v>
      </c>
      <c r="E84" s="7" cm="1">
        <f t="array" ref="E84">_xlfn.XLOOKUP(1,(Лист2!$A$2:$A$505=A84)*(Лист2!$B$2:$B$505=B84),(Лист2!$C$2:$C$505))</f>
        <v>10</v>
      </c>
      <c r="F84" s="7" cm="1">
        <f t="array" ref="F84">_xlfn.XLOOKUP(1, (Лист2!$A$2:$A$505=A84)*(Лист2!$B$2:$B$505=B84), Лист2!$D$2:$D$505)</f>
        <v>865</v>
      </c>
      <c r="G84" s="7" cm="1">
        <f t="array" ref="G84">_xlfn.XLOOKUP(1, (Лист2!$A$2:$A$505=A84)*(Лист2!$B$2:$B$505=B84), Лист2!$E$2:$E$505)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5">
      <c r="A85" s="8">
        <v>43979</v>
      </c>
      <c r="B85" s="9" t="s">
        <v>12</v>
      </c>
      <c r="C85" s="9">
        <v>13038</v>
      </c>
      <c r="D85" s="9">
        <v>1114552.5</v>
      </c>
      <c r="E85" s="7" cm="1">
        <f t="array" ref="E85">_xlfn.XLOOKUP(1,(Лист2!$A$2:$A$505=A85)*(Лист2!$B$2:$B$505=B85),(Лист2!$C$2:$C$505))</f>
        <v>10</v>
      </c>
      <c r="F85" s="7" cm="1">
        <f t="array" ref="F85">_xlfn.XLOOKUP(1, (Лист2!$A$2:$A$505=A85)*(Лист2!$B$2:$B$505=B85), Лист2!$D$2:$D$505)</f>
        <v>791</v>
      </c>
      <c r="G85" s="7" cm="1">
        <f t="array" ref="G85">_xlfn.XLOOKUP(1, (Лист2!$A$2:$A$505=A85)*(Лист2!$B$2:$B$505=B85), Лист2!$E$2:$E$505)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5">
      <c r="A86" s="5">
        <v>43967</v>
      </c>
      <c r="B86" s="6" t="s">
        <v>13</v>
      </c>
      <c r="C86" s="6">
        <v>35482.5</v>
      </c>
      <c r="D86" s="6">
        <v>3222517.5</v>
      </c>
      <c r="E86" s="7" cm="1">
        <f t="array" ref="E86">_xlfn.XLOOKUP(1,(Лист2!$A$2:$A$505=A86)*(Лист2!$B$2:$B$505=B86),(Лист2!$C$2:$C$505))</f>
        <v>19</v>
      </c>
      <c r="F86" s="7" cm="1">
        <f t="array" ref="F86">_xlfn.XLOOKUP(1, (Лист2!$A$2:$A$505=A86)*(Лист2!$B$2:$B$505=B86), Лист2!$D$2:$D$505)</f>
        <v>2080</v>
      </c>
      <c r="G86" s="7" cm="1">
        <f t="array" ref="G86">_xlfn.XLOOKUP(1, (Лист2!$A$2:$A$505=A86)*(Лист2!$B$2:$B$505=B86), Лист2!$E$2:$E$505)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5">
      <c r="A87" s="8">
        <v>43970</v>
      </c>
      <c r="B87" s="9" t="s">
        <v>13</v>
      </c>
      <c r="C87" s="9">
        <v>32434.5</v>
      </c>
      <c r="D87" s="9">
        <v>2865337.5</v>
      </c>
      <c r="E87" s="7" cm="1">
        <f t="array" ref="E87">_xlfn.XLOOKUP(1,(Лист2!$A$2:$A$505=A87)*(Лист2!$B$2:$B$505=B87),(Лист2!$C$2:$C$505))</f>
        <v>19</v>
      </c>
      <c r="F87" s="7" cm="1">
        <f t="array" ref="F87">_xlfn.XLOOKUP(1, (Лист2!$A$2:$A$505=A87)*(Лист2!$B$2:$B$505=B87), Лист2!$D$2:$D$505)</f>
        <v>1999</v>
      </c>
      <c r="G87" s="7" cm="1">
        <f t="array" ref="G87">_xlfn.XLOOKUP(1, (Лист2!$A$2:$A$505=A87)*(Лист2!$B$2:$B$505=B87), Лист2!$E$2:$E$505)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5">
      <c r="A88" s="5">
        <v>43968</v>
      </c>
      <c r="B88" s="6" t="s">
        <v>13</v>
      </c>
      <c r="C88" s="6">
        <v>30486</v>
      </c>
      <c r="D88" s="6">
        <v>2694289.5</v>
      </c>
      <c r="E88" s="7" cm="1">
        <f t="array" ref="E88">_xlfn.XLOOKUP(1,(Лист2!$A$2:$A$505=A88)*(Лист2!$B$2:$B$505=B88),(Лист2!$C$2:$C$505))</f>
        <v>19</v>
      </c>
      <c r="F88" s="7" cm="1">
        <f t="array" ref="F88">_xlfn.XLOOKUP(1, (Лист2!$A$2:$A$505=A88)*(Лист2!$B$2:$B$505=B88), Лист2!$D$2:$D$505)</f>
        <v>1871</v>
      </c>
      <c r="G88" s="7" cm="1">
        <f t="array" ref="G88">_xlfn.XLOOKUP(1, (Лист2!$A$2:$A$505=A88)*(Лист2!$B$2:$B$505=B88), Лист2!$E$2:$E$505)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35">
      <c r="A89" s="8">
        <v>43960</v>
      </c>
      <c r="B89" s="9" t="s">
        <v>13</v>
      </c>
      <c r="C89" s="9">
        <v>32079</v>
      </c>
      <c r="D89" s="9">
        <v>2902167</v>
      </c>
      <c r="E89" s="7" cm="1">
        <f t="array" ref="E89">_xlfn.XLOOKUP(1,(Лист2!$A$2:$A$505=A89)*(Лист2!$B$2:$B$505=B89),(Лист2!$C$2:$C$505))</f>
        <v>19</v>
      </c>
      <c r="F89" s="7" cm="1">
        <f t="array" ref="F89">_xlfn.XLOOKUP(1, (Лист2!$A$2:$A$505=A89)*(Лист2!$B$2:$B$505=B89), Лист2!$D$2:$D$505)</f>
        <v>1851</v>
      </c>
      <c r="G89" s="7" cm="1">
        <f t="array" ref="G89">_xlfn.XLOOKUP(1, (Лист2!$A$2:$A$505=A89)*(Лист2!$B$2:$B$505=B89), Лист2!$E$2:$E$505)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5">
      <c r="A90" s="5">
        <v>43955</v>
      </c>
      <c r="B90" s="6" t="s">
        <v>13</v>
      </c>
      <c r="C90" s="6">
        <v>27072</v>
      </c>
      <c r="D90" s="6">
        <v>2450968.5</v>
      </c>
      <c r="E90" s="7" cm="1">
        <f t="array" ref="E90">_xlfn.XLOOKUP(1,(Лист2!$A$2:$A$505=A90)*(Лист2!$B$2:$B$505=B90),(Лист2!$C$2:$C$505))</f>
        <v>19</v>
      </c>
      <c r="F90" s="7" cm="1">
        <f t="array" ref="F90">_xlfn.XLOOKUP(1, (Лист2!$A$2:$A$505=A90)*(Лист2!$B$2:$B$505=B90), Лист2!$D$2:$D$505)</f>
        <v>1582</v>
      </c>
      <c r="G90" s="7" cm="1">
        <f t="array" ref="G90">_xlfn.XLOOKUP(1, (Лист2!$A$2:$A$505=A90)*(Лист2!$B$2:$B$505=B90), Лист2!$E$2:$E$505)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5">
      <c r="A91" s="8">
        <v>43950</v>
      </c>
      <c r="B91" s="9" t="s">
        <v>13</v>
      </c>
      <c r="C91" s="9">
        <v>25917</v>
      </c>
      <c r="D91" s="9">
        <v>2397588</v>
      </c>
      <c r="E91" s="7" cm="1">
        <f t="array" ref="E91">_xlfn.XLOOKUP(1,(Лист2!$A$2:$A$505=A91)*(Лист2!$B$2:$B$505=B91),(Лист2!$C$2:$C$505))</f>
        <v>18</v>
      </c>
      <c r="F91" s="7" cm="1">
        <f t="array" ref="F91">_xlfn.XLOOKUP(1, (Лист2!$A$2:$A$505=A91)*(Лист2!$B$2:$B$505=B91), Лист2!$D$2:$D$505)</f>
        <v>1534</v>
      </c>
      <c r="G91" s="7" cm="1">
        <f t="array" ref="G91">_xlfn.XLOOKUP(1, (Лист2!$A$2:$A$505=A91)*(Лист2!$B$2:$B$505=B91), Лист2!$E$2:$E$505)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5">
      <c r="A92" s="5">
        <v>43953</v>
      </c>
      <c r="B92" s="6" t="s">
        <v>13</v>
      </c>
      <c r="C92" s="6">
        <v>19461</v>
      </c>
      <c r="D92" s="6">
        <v>1799230.5</v>
      </c>
      <c r="E92" s="7" cm="1">
        <f t="array" ref="E92">_xlfn.XLOOKUP(1,(Лист2!$A$2:$A$505=A92)*(Лист2!$B$2:$B$505=B92),(Лист2!$C$2:$C$505))</f>
        <v>19</v>
      </c>
      <c r="F92" s="7" cm="1">
        <f t="array" ref="F92">_xlfn.XLOOKUP(1, (Лист2!$A$2:$A$505=A92)*(Лист2!$B$2:$B$505=B92), Лист2!$D$2:$D$505)</f>
        <v>1217</v>
      </c>
      <c r="G92" s="7" cm="1">
        <f t="array" ref="G92">_xlfn.XLOOKUP(1, (Лист2!$A$2:$A$505=A92)*(Лист2!$B$2:$B$505=B92), Лист2!$E$2:$E$505)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5">
      <c r="A93" s="8">
        <v>43977</v>
      </c>
      <c r="B93" s="9" t="s">
        <v>13</v>
      </c>
      <c r="C93" s="9">
        <v>31407</v>
      </c>
      <c r="D93" s="9">
        <v>2907411</v>
      </c>
      <c r="E93" s="7" cm="1">
        <f t="array" ref="E93">_xlfn.XLOOKUP(1,(Лист2!$A$2:$A$505=A93)*(Лист2!$B$2:$B$505=B93),(Лист2!$C$2:$C$505))</f>
        <v>20</v>
      </c>
      <c r="F93" s="7" cm="1">
        <f t="array" ref="F93">_xlfn.XLOOKUP(1, (Лист2!$A$2:$A$505=A93)*(Лист2!$B$2:$B$505=B93), Лист2!$D$2:$D$505)</f>
        <v>2036</v>
      </c>
      <c r="G93" s="7" cm="1">
        <f t="array" ref="G93">_xlfn.XLOOKUP(1, (Лист2!$A$2:$A$505=A93)*(Лист2!$B$2:$B$505=B93), Лист2!$E$2:$E$505)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5">
      <c r="A94" s="5">
        <v>43952</v>
      </c>
      <c r="B94" s="6" t="s">
        <v>13</v>
      </c>
      <c r="C94" s="6">
        <v>25792.5</v>
      </c>
      <c r="D94" s="6">
        <v>2374356</v>
      </c>
      <c r="E94" s="7" cm="1">
        <f t="array" ref="E94">_xlfn.XLOOKUP(1,(Лист2!$A$2:$A$505=A94)*(Лист2!$B$2:$B$505=B94),(Лист2!$C$2:$C$505))</f>
        <v>19</v>
      </c>
      <c r="F94" s="7" cm="1">
        <f t="array" ref="F94">_xlfn.XLOOKUP(1, (Лист2!$A$2:$A$505=A94)*(Лист2!$B$2:$B$505=B94), Лист2!$D$2:$D$505)</f>
        <v>1497</v>
      </c>
      <c r="G94" s="7" cm="1">
        <f t="array" ref="G94">_xlfn.XLOOKUP(1, (Лист2!$A$2:$A$505=A94)*(Лист2!$B$2:$B$505=B94), Лист2!$E$2:$E$505)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5">
      <c r="A95" s="8">
        <v>43963</v>
      </c>
      <c r="B95" s="9" t="s">
        <v>13</v>
      </c>
      <c r="C95" s="9">
        <v>26032.5</v>
      </c>
      <c r="D95" s="9">
        <v>2370432</v>
      </c>
      <c r="E95" s="7" cm="1">
        <f t="array" ref="E95">_xlfn.XLOOKUP(1,(Лист2!$A$2:$A$505=A95)*(Лист2!$B$2:$B$505=B95),(Лист2!$C$2:$C$505))</f>
        <v>19</v>
      </c>
      <c r="F95" s="7" cm="1">
        <f t="array" ref="F95">_xlfn.XLOOKUP(1, (Лист2!$A$2:$A$505=A95)*(Лист2!$B$2:$B$505=B95), Лист2!$D$2:$D$505)</f>
        <v>1649</v>
      </c>
      <c r="G95" s="7" cm="1">
        <f t="array" ref="G95">_xlfn.XLOOKUP(1, (Лист2!$A$2:$A$505=A95)*(Лист2!$B$2:$B$505=B95), Лист2!$E$2:$E$505)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5">
      <c r="A96" s="5">
        <v>43972</v>
      </c>
      <c r="B96" s="6" t="s">
        <v>13</v>
      </c>
      <c r="C96" s="6">
        <v>31707</v>
      </c>
      <c r="D96" s="6">
        <v>2853181.5</v>
      </c>
      <c r="E96" s="7" cm="1">
        <f t="array" ref="E96">_xlfn.XLOOKUP(1,(Лист2!$A$2:$A$505=A96)*(Лист2!$B$2:$B$505=B96),(Лист2!$C$2:$C$505))</f>
        <v>19</v>
      </c>
      <c r="F96" s="7" cm="1">
        <f t="array" ref="F96">_xlfn.XLOOKUP(1, (Лист2!$A$2:$A$505=A96)*(Лист2!$B$2:$B$505=B96), Лист2!$D$2:$D$505)</f>
        <v>1949</v>
      </c>
      <c r="G96" s="7" cm="1">
        <f t="array" ref="G96">_xlfn.XLOOKUP(1, (Лист2!$A$2:$A$505=A96)*(Лист2!$B$2:$B$505=B96), Лист2!$E$2:$E$505)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5">
      <c r="A97" s="8">
        <v>43971</v>
      </c>
      <c r="B97" s="9" t="s">
        <v>13</v>
      </c>
      <c r="C97" s="9">
        <v>29955</v>
      </c>
      <c r="D97" s="9">
        <v>2692230</v>
      </c>
      <c r="E97" s="7" cm="1">
        <f t="array" ref="E97">_xlfn.XLOOKUP(1,(Лист2!$A$2:$A$505=A97)*(Лист2!$B$2:$B$505=B97),(Лист2!$C$2:$C$505))</f>
        <v>19</v>
      </c>
      <c r="F97" s="7" cm="1">
        <f t="array" ref="F97">_xlfn.XLOOKUP(1, (Лист2!$A$2:$A$505=A97)*(Лист2!$B$2:$B$505=B97), Лист2!$D$2:$D$505)</f>
        <v>1889</v>
      </c>
      <c r="G97" s="7" cm="1">
        <f t="array" ref="G97">_xlfn.XLOOKUP(1, (Лист2!$A$2:$A$505=A97)*(Лист2!$B$2:$B$505=B97), Лист2!$E$2:$E$505)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5">
      <c r="A98" s="5">
        <v>43956</v>
      </c>
      <c r="B98" s="6" t="s">
        <v>13</v>
      </c>
      <c r="C98" s="6">
        <v>22848</v>
      </c>
      <c r="D98" s="6">
        <v>2079900</v>
      </c>
      <c r="E98" s="7" cm="1">
        <f t="array" ref="E98">_xlfn.XLOOKUP(1,(Лист2!$A$2:$A$505=A98)*(Лист2!$B$2:$B$505=B98),(Лист2!$C$2:$C$505))</f>
        <v>19</v>
      </c>
      <c r="F98" s="7" cm="1">
        <f t="array" ref="F98">_xlfn.XLOOKUP(1, (Лист2!$A$2:$A$505=A98)*(Лист2!$B$2:$B$505=B98), Лист2!$D$2:$D$505)</f>
        <v>1417</v>
      </c>
      <c r="G98" s="7" cm="1">
        <f t="array" ref="G98">_xlfn.XLOOKUP(1, (Лист2!$A$2:$A$505=A98)*(Лист2!$B$2:$B$505=B98), Лист2!$E$2:$E$505)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5">
      <c r="A99" s="8">
        <v>43949</v>
      </c>
      <c r="B99" s="9" t="s">
        <v>13</v>
      </c>
      <c r="C99" s="9">
        <v>23314.5</v>
      </c>
      <c r="D99" s="9">
        <v>2136817.5</v>
      </c>
      <c r="E99" s="7" cm="1">
        <f t="array" ref="E99">_xlfn.XLOOKUP(1,(Лист2!$A$2:$A$505=A99)*(Лист2!$B$2:$B$505=B99),(Лист2!$C$2:$C$505))</f>
        <v>17</v>
      </c>
      <c r="F99" s="7" cm="1">
        <f t="array" ref="F99">_xlfn.XLOOKUP(1, (Лист2!$A$2:$A$505=A99)*(Лист2!$B$2:$B$505=B99), Лист2!$D$2:$D$505)</f>
        <v>1439</v>
      </c>
      <c r="G99" s="7" cm="1">
        <f t="array" ref="G99">_xlfn.XLOOKUP(1, (Лист2!$A$2:$A$505=A99)*(Лист2!$B$2:$B$505=B99), Лист2!$E$2:$E$505)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5">
      <c r="A100" s="5">
        <v>43964</v>
      </c>
      <c r="B100" s="6" t="s">
        <v>13</v>
      </c>
      <c r="C100" s="6">
        <v>26464.5</v>
      </c>
      <c r="D100" s="6">
        <v>2373337.5</v>
      </c>
      <c r="E100" s="7" cm="1">
        <f t="array" ref="E100">_xlfn.XLOOKUP(1,(Лист2!$A$2:$A$505=A100)*(Лист2!$B$2:$B$505=B100),(Лист2!$C$2:$C$505))</f>
        <v>19</v>
      </c>
      <c r="F100" s="7" cm="1">
        <f t="array" ref="F100">_xlfn.XLOOKUP(1, (Лист2!$A$2:$A$505=A100)*(Лист2!$B$2:$B$505=B100), Лист2!$D$2:$D$505)</f>
        <v>1625</v>
      </c>
      <c r="G100" s="7" cm="1">
        <f t="array" ref="G100">_xlfn.XLOOKUP(1, (Лист2!$A$2:$A$505=A100)*(Лист2!$B$2:$B$505=B100), Лист2!$E$2:$E$505)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5">
      <c r="A101" s="8">
        <v>43954</v>
      </c>
      <c r="B101" s="9" t="s">
        <v>13</v>
      </c>
      <c r="C101" s="9">
        <v>23539.5</v>
      </c>
      <c r="D101" s="9">
        <v>2170309.5</v>
      </c>
      <c r="E101" s="7" cm="1">
        <f t="array" ref="E101">_xlfn.XLOOKUP(1,(Лист2!$A$2:$A$505=A101)*(Лист2!$B$2:$B$505=B101),(Лист2!$C$2:$C$505))</f>
        <v>19</v>
      </c>
      <c r="F101" s="7" cm="1">
        <f t="array" ref="F101">_xlfn.XLOOKUP(1, (Лист2!$A$2:$A$505=A101)*(Лист2!$B$2:$B$505=B101), Лист2!$D$2:$D$505)</f>
        <v>1402</v>
      </c>
      <c r="G101" s="7" cm="1">
        <f t="array" ref="G101">_xlfn.XLOOKUP(1, (Лист2!$A$2:$A$505=A101)*(Лист2!$B$2:$B$505=B101), Лист2!$E$2:$E$505)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35">
      <c r="A102" s="5">
        <v>43957</v>
      </c>
      <c r="B102" s="6" t="s">
        <v>13</v>
      </c>
      <c r="C102" s="6">
        <v>24678</v>
      </c>
      <c r="D102" s="6">
        <v>2232519</v>
      </c>
      <c r="E102" s="7" cm="1">
        <f t="array" ref="E102">_xlfn.XLOOKUP(1,(Лист2!$A$2:$A$505=A102)*(Лист2!$B$2:$B$505=B102),(Лист2!$C$2:$C$505))</f>
        <v>19</v>
      </c>
      <c r="F102" s="7" cm="1">
        <f t="array" ref="F102">_xlfn.XLOOKUP(1, (Лист2!$A$2:$A$505=A102)*(Лист2!$B$2:$B$505=B102), Лист2!$D$2:$D$505)</f>
        <v>1499</v>
      </c>
      <c r="G102" s="7" cm="1">
        <f t="array" ref="G102">_xlfn.XLOOKUP(1, (Лист2!$A$2:$A$505=A102)*(Лист2!$B$2:$B$505=B102), Лист2!$E$2:$E$505)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5">
      <c r="A103" s="8">
        <v>43974</v>
      </c>
      <c r="B103" s="9" t="s">
        <v>13</v>
      </c>
      <c r="C103" s="9">
        <v>38176.5</v>
      </c>
      <c r="D103" s="9">
        <v>3385372.5</v>
      </c>
      <c r="E103" s="7" cm="1">
        <f t="array" ref="E103">_xlfn.XLOOKUP(1,(Лист2!$A$2:$A$505=A103)*(Лист2!$B$2:$B$505=B103),(Лист2!$C$2:$C$505))</f>
        <v>20</v>
      </c>
      <c r="F103" s="7" cm="1">
        <f t="array" ref="F103">_xlfn.XLOOKUP(1, (Лист2!$A$2:$A$505=A103)*(Лист2!$B$2:$B$505=B103), Лист2!$D$2:$D$505)</f>
        <v>2266</v>
      </c>
      <c r="G103" s="7" cm="1">
        <f t="array" ref="G103">_xlfn.XLOOKUP(1, (Лист2!$A$2:$A$505=A103)*(Лист2!$B$2:$B$505=B103), Лист2!$E$2:$E$505)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5">
      <c r="A104" s="5">
        <v>43976</v>
      </c>
      <c r="B104" s="6" t="s">
        <v>13</v>
      </c>
      <c r="C104" s="6">
        <v>30603</v>
      </c>
      <c r="D104" s="6">
        <v>2865727.5</v>
      </c>
      <c r="E104" s="7" cm="1">
        <f t="array" ref="E104">_xlfn.XLOOKUP(1,(Лист2!$A$2:$A$505=A104)*(Лист2!$B$2:$B$505=B104),(Лист2!$C$2:$C$505))</f>
        <v>20</v>
      </c>
      <c r="F104" s="7" cm="1">
        <f t="array" ref="F104">_xlfn.XLOOKUP(1, (Лист2!$A$2:$A$505=A104)*(Лист2!$B$2:$B$505=B104), Лист2!$D$2:$D$505)</f>
        <v>2011</v>
      </c>
      <c r="G104" s="7" cm="1">
        <f t="array" ref="G104">_xlfn.XLOOKUP(1, (Лист2!$A$2:$A$505=A104)*(Лист2!$B$2:$B$505=B104), Лист2!$E$2:$E$505)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5">
      <c r="A105" s="8">
        <v>43951</v>
      </c>
      <c r="B105" s="9" t="s">
        <v>13</v>
      </c>
      <c r="C105" s="9">
        <v>24211.5</v>
      </c>
      <c r="D105" s="9">
        <v>2267664</v>
      </c>
      <c r="E105" s="7" cm="1">
        <f t="array" ref="E105">_xlfn.XLOOKUP(1,(Лист2!$A$2:$A$505=A105)*(Лист2!$B$2:$B$505=B105),(Лист2!$C$2:$C$505))</f>
        <v>19</v>
      </c>
      <c r="F105" s="7" cm="1">
        <f t="array" ref="F105">_xlfn.XLOOKUP(1, (Лист2!$A$2:$A$505=A105)*(Лист2!$B$2:$B$505=B105), Лист2!$D$2:$D$505)</f>
        <v>1499</v>
      </c>
      <c r="G105" s="7" cm="1">
        <f t="array" ref="G105">_xlfn.XLOOKUP(1, (Лист2!$A$2:$A$505=A105)*(Лист2!$B$2:$B$505=B105), Лист2!$E$2:$E$505)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5">
      <c r="A106" s="5">
        <v>43961</v>
      </c>
      <c r="B106" s="6" t="s">
        <v>13</v>
      </c>
      <c r="C106" s="6">
        <v>31399.5</v>
      </c>
      <c r="D106" s="6">
        <v>2862298.5</v>
      </c>
      <c r="E106" s="7" cm="1">
        <f t="array" ref="E106">_xlfn.XLOOKUP(1,(Лист2!$A$2:$A$505=A106)*(Лист2!$B$2:$B$505=B106),(Лист2!$C$2:$C$505))</f>
        <v>19</v>
      </c>
      <c r="F106" s="7" cm="1">
        <f t="array" ref="F106">_xlfn.XLOOKUP(1, (Лист2!$A$2:$A$505=A106)*(Лист2!$B$2:$B$505=B106), Лист2!$D$2:$D$505)</f>
        <v>1848</v>
      </c>
      <c r="G106" s="7" cm="1">
        <f t="array" ref="G106">_xlfn.XLOOKUP(1, (Лист2!$A$2:$A$505=A106)*(Лист2!$B$2:$B$505=B106), Лист2!$E$2:$E$505)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35">
      <c r="A107" s="8">
        <v>43959</v>
      </c>
      <c r="B107" s="9" t="s">
        <v>13</v>
      </c>
      <c r="C107" s="9">
        <v>25294.5</v>
      </c>
      <c r="D107" s="9">
        <v>2271454.5</v>
      </c>
      <c r="E107" s="7" cm="1">
        <f t="array" ref="E107">_xlfn.XLOOKUP(1,(Лист2!$A$2:$A$505=A107)*(Лист2!$B$2:$B$505=B107),(Лист2!$C$2:$C$505))</f>
        <v>19</v>
      </c>
      <c r="F107" s="7" cm="1">
        <f t="array" ref="F107">_xlfn.XLOOKUP(1, (Лист2!$A$2:$A$505=A107)*(Лист2!$B$2:$B$505=B107), Лист2!$D$2:$D$505)</f>
        <v>1522</v>
      </c>
      <c r="G107" s="7" cm="1">
        <f t="array" ref="G107">_xlfn.XLOOKUP(1, (Лист2!$A$2:$A$505=A107)*(Лист2!$B$2:$B$505=B107), Лист2!$E$2:$E$505)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5">
      <c r="A108" s="5">
        <v>43958</v>
      </c>
      <c r="B108" s="6" t="s">
        <v>13</v>
      </c>
      <c r="C108" s="6">
        <v>25468.5</v>
      </c>
      <c r="D108" s="6">
        <v>2350672.5</v>
      </c>
      <c r="E108" s="7" cm="1">
        <f t="array" ref="E108">_xlfn.XLOOKUP(1,(Лист2!$A$2:$A$505=A108)*(Лист2!$B$2:$B$505=B108),(Лист2!$C$2:$C$505))</f>
        <v>19</v>
      </c>
      <c r="F108" s="7" cm="1">
        <f t="array" ref="F108">_xlfn.XLOOKUP(1, (Лист2!$A$2:$A$505=A108)*(Лист2!$B$2:$B$505=B108), Лист2!$D$2:$D$505)</f>
        <v>1530</v>
      </c>
      <c r="G108" s="7" cm="1">
        <f t="array" ref="G108">_xlfn.XLOOKUP(1, (Лист2!$A$2:$A$505=A108)*(Лист2!$B$2:$B$505=B108), Лист2!$E$2:$E$505)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5">
      <c r="A109" s="8">
        <v>43975</v>
      </c>
      <c r="B109" s="9" t="s">
        <v>13</v>
      </c>
      <c r="C109" s="9">
        <v>31854</v>
      </c>
      <c r="D109" s="9">
        <v>2915533.5</v>
      </c>
      <c r="E109" s="7" cm="1">
        <f t="array" ref="E109">_xlfn.XLOOKUP(1,(Лист2!$A$2:$A$505=A109)*(Лист2!$B$2:$B$505=B109),(Лист2!$C$2:$C$505))</f>
        <v>20</v>
      </c>
      <c r="F109" s="7" cm="1">
        <f t="array" ref="F109">_xlfn.XLOOKUP(1, (Лист2!$A$2:$A$505=A109)*(Лист2!$B$2:$B$505=B109), Лист2!$D$2:$D$505)</f>
        <v>2015</v>
      </c>
      <c r="G109" s="7" cm="1">
        <f t="array" ref="G109">_xlfn.XLOOKUP(1, (Лист2!$A$2:$A$505=A109)*(Лист2!$B$2:$B$505=B109), Лист2!$E$2:$E$505)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35">
      <c r="A110" s="5">
        <v>43982</v>
      </c>
      <c r="B110" s="6" t="s">
        <v>13</v>
      </c>
      <c r="C110" s="6">
        <v>32359.5</v>
      </c>
      <c r="D110" s="6">
        <v>2991999</v>
      </c>
      <c r="E110" s="7" cm="1">
        <f t="array" ref="E110">_xlfn.XLOOKUP(1,(Лист2!$A$2:$A$505=A110)*(Лист2!$B$2:$B$505=B110),(Лист2!$C$2:$C$505))</f>
        <v>20</v>
      </c>
      <c r="F110" s="7" cm="1">
        <f t="array" ref="F110">_xlfn.XLOOKUP(1, (Лист2!$A$2:$A$505=A110)*(Лист2!$B$2:$B$505=B110), Лист2!$D$2:$D$505)</f>
        <v>2060</v>
      </c>
      <c r="G110" s="7" cm="1">
        <f t="array" ref="G110">_xlfn.XLOOKUP(1, (Лист2!$A$2:$A$505=A110)*(Лист2!$B$2:$B$505=B110), Лист2!$E$2:$E$505)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35">
      <c r="A111" s="8">
        <v>43981</v>
      </c>
      <c r="B111" s="9" t="s">
        <v>13</v>
      </c>
      <c r="C111" s="9">
        <v>39867</v>
      </c>
      <c r="D111" s="9">
        <v>3654166.5</v>
      </c>
      <c r="E111" s="7" cm="1">
        <f t="array" ref="E111">_xlfn.XLOOKUP(1,(Лист2!$A$2:$A$505=A111)*(Лист2!$B$2:$B$505=B111),(Лист2!$C$2:$C$505))</f>
        <v>20</v>
      </c>
      <c r="F111" s="7" cm="1">
        <f t="array" ref="F111">_xlfn.XLOOKUP(1, (Лист2!$A$2:$A$505=A111)*(Лист2!$B$2:$B$505=B111), Лист2!$D$2:$D$505)</f>
        <v>2451</v>
      </c>
      <c r="G111" s="7" cm="1">
        <f t="array" ref="G111">_xlfn.XLOOKUP(1, (Лист2!$A$2:$A$505=A111)*(Лист2!$B$2:$B$505=B111), Лист2!$E$2:$E$505)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5">
      <c r="A112" s="5">
        <v>43979</v>
      </c>
      <c r="B112" s="6" t="s">
        <v>13</v>
      </c>
      <c r="C112" s="6">
        <v>31974</v>
      </c>
      <c r="D112" s="6">
        <v>3004213.5</v>
      </c>
      <c r="E112" s="7" cm="1">
        <f t="array" ref="E112">_xlfn.XLOOKUP(1,(Лист2!$A$2:$A$505=A112)*(Лист2!$B$2:$B$505=B112),(Лист2!$C$2:$C$505))</f>
        <v>20</v>
      </c>
      <c r="F112" s="7" cm="1">
        <f t="array" ref="F112">_xlfn.XLOOKUP(1, (Лист2!$A$2:$A$505=A112)*(Лист2!$B$2:$B$505=B112), Лист2!$D$2:$D$505)</f>
        <v>2088</v>
      </c>
      <c r="G112" s="7" cm="1">
        <f t="array" ref="G112">_xlfn.XLOOKUP(1, (Лист2!$A$2:$A$505=A112)*(Лист2!$B$2:$B$505=B112), Лист2!$E$2:$E$505)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5">
      <c r="A113" s="8">
        <v>43967</v>
      </c>
      <c r="B113" s="9" t="s">
        <v>14</v>
      </c>
      <c r="C113" s="9">
        <v>321412.5</v>
      </c>
      <c r="D113" s="9">
        <v>32235864</v>
      </c>
      <c r="E113" s="7" cm="1">
        <f t="array" ref="E113">_xlfn.XLOOKUP(1,(Лист2!$A$2:$A$505=A113)*(Лист2!$B$2:$B$505=B113),(Лист2!$C$2:$C$505))</f>
        <v>129</v>
      </c>
      <c r="F113" s="7" cm="1">
        <f t="array" ref="F113">_xlfn.XLOOKUP(1, (Лист2!$A$2:$A$505=A113)*(Лист2!$B$2:$B$505=B113), Лист2!$D$2:$D$505)</f>
        <v>17914</v>
      </c>
      <c r="G113" s="7" cm="1">
        <f t="array" ref="G113">_xlfn.XLOOKUP(1, (Лист2!$A$2:$A$505=A113)*(Лист2!$B$2:$B$505=B113), Лист2!$E$2:$E$505)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5">
      <c r="A114" s="5">
        <v>43970</v>
      </c>
      <c r="B114" s="6" t="s">
        <v>14</v>
      </c>
      <c r="C114" s="6">
        <v>276568.5</v>
      </c>
      <c r="D114" s="6">
        <v>27093624</v>
      </c>
      <c r="E114" s="7" cm="1">
        <f t="array" ref="E114">_xlfn.XLOOKUP(1,(Лист2!$A$2:$A$505=A114)*(Лист2!$B$2:$B$505=B114),(Лист2!$C$2:$C$505))</f>
        <v>129</v>
      </c>
      <c r="F114" s="7" cm="1">
        <f t="array" ref="F114">_xlfn.XLOOKUP(1, (Лист2!$A$2:$A$505=A114)*(Лист2!$B$2:$B$505=B114), Лист2!$D$2:$D$505)</f>
        <v>16191</v>
      </c>
      <c r="G114" s="7" cm="1">
        <f t="array" ref="G114">_xlfn.XLOOKUP(1, (Лист2!$A$2:$A$505=A114)*(Лист2!$B$2:$B$505=B114), Лист2!$E$2:$E$505)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5">
      <c r="A115" s="8">
        <v>43968</v>
      </c>
      <c r="B115" s="9" t="s">
        <v>14</v>
      </c>
      <c r="C115" s="9">
        <v>269029.5</v>
      </c>
      <c r="D115" s="9">
        <v>26659930.5</v>
      </c>
      <c r="E115" s="7" cm="1">
        <f t="array" ref="E115">_xlfn.XLOOKUP(1,(Лист2!$A$2:$A$505=A115)*(Лист2!$B$2:$B$505=B115),(Лист2!$C$2:$C$505))</f>
        <v>129</v>
      </c>
      <c r="F115" s="7" cm="1">
        <f t="array" ref="F115">_xlfn.XLOOKUP(1, (Лист2!$A$2:$A$505=A115)*(Лист2!$B$2:$B$505=B115), Лист2!$D$2:$D$505)</f>
        <v>15744</v>
      </c>
      <c r="G115" s="7" cm="1">
        <f t="array" ref="G115">_xlfn.XLOOKUP(1, (Лист2!$A$2:$A$505=A115)*(Лист2!$B$2:$B$505=B115), Лист2!$E$2:$E$505)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35">
      <c r="A116" s="5">
        <v>43960</v>
      </c>
      <c r="B116" s="6" t="s">
        <v>14</v>
      </c>
      <c r="C116" s="6">
        <v>285972</v>
      </c>
      <c r="D116" s="6">
        <v>29768199</v>
      </c>
      <c r="E116" s="7" cm="1">
        <f t="array" ref="E116">_xlfn.XLOOKUP(1,(Лист2!$A$2:$A$505=A116)*(Лист2!$B$2:$B$505=B116),(Лист2!$C$2:$C$505))</f>
        <v>129</v>
      </c>
      <c r="F116" s="7" cm="1">
        <f t="array" ref="F116">_xlfn.XLOOKUP(1, (Лист2!$A$2:$A$505=A116)*(Лист2!$B$2:$B$505=B116), Лист2!$D$2:$D$505)</f>
        <v>16420</v>
      </c>
      <c r="G116" s="7" cm="1">
        <f t="array" ref="G116">_xlfn.XLOOKUP(1, (Лист2!$A$2:$A$505=A116)*(Лист2!$B$2:$B$505=B116), Лист2!$E$2:$E$505)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5">
      <c r="A117" s="8">
        <v>43955</v>
      </c>
      <c r="B117" s="9" t="s">
        <v>14</v>
      </c>
      <c r="C117" s="9">
        <v>283942.5</v>
      </c>
      <c r="D117" s="9">
        <v>29357940</v>
      </c>
      <c r="E117" s="7" cm="1">
        <f t="array" ref="E117">_xlfn.XLOOKUP(1,(Лист2!$A$2:$A$505=A117)*(Лист2!$B$2:$B$505=B117),(Лист2!$C$2:$C$505))</f>
        <v>129</v>
      </c>
      <c r="F117" s="7" cm="1">
        <f t="array" ref="F117">_xlfn.XLOOKUP(1, (Лист2!$A$2:$A$505=A117)*(Лист2!$B$2:$B$505=B117), Лист2!$D$2:$D$505)</f>
        <v>16525</v>
      </c>
      <c r="G117" s="7" cm="1">
        <f t="array" ref="G117">_xlfn.XLOOKUP(1, (Лист2!$A$2:$A$505=A117)*(Лист2!$B$2:$B$505=B117), Лист2!$E$2:$E$505)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5">
      <c r="A118" s="5">
        <v>43950</v>
      </c>
      <c r="B118" s="6" t="s">
        <v>14</v>
      </c>
      <c r="C118" s="6">
        <v>298059</v>
      </c>
      <c r="D118" s="6">
        <v>30869287.5</v>
      </c>
      <c r="E118" s="7" cm="1">
        <f t="array" ref="E118">_xlfn.XLOOKUP(1,(Лист2!$A$2:$A$505=A118)*(Лист2!$B$2:$B$505=B118),(Лист2!$C$2:$C$505))</f>
        <v>128</v>
      </c>
      <c r="F118" s="7" cm="1">
        <f t="array" ref="F118">_xlfn.XLOOKUP(1, (Лист2!$A$2:$A$505=A118)*(Лист2!$B$2:$B$505=B118), Лист2!$D$2:$D$505)</f>
        <v>17368</v>
      </c>
      <c r="G118" s="7" cm="1">
        <f t="array" ref="G118">_xlfn.XLOOKUP(1, (Лист2!$A$2:$A$505=A118)*(Лист2!$B$2:$B$505=B118), Лист2!$E$2:$E$505)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5">
      <c r="A119" s="8">
        <v>43953</v>
      </c>
      <c r="B119" s="9" t="s">
        <v>14</v>
      </c>
      <c r="C119" s="9">
        <v>232903.5</v>
      </c>
      <c r="D119" s="9">
        <v>24342016.5</v>
      </c>
      <c r="E119" s="7" cm="1">
        <f t="array" ref="E119">_xlfn.XLOOKUP(1,(Лист2!$A$2:$A$505=A119)*(Лист2!$B$2:$B$505=B119),(Лист2!$C$2:$C$505))</f>
        <v>129</v>
      </c>
      <c r="F119" s="7" cm="1">
        <f t="array" ref="F119">_xlfn.XLOOKUP(1, (Лист2!$A$2:$A$505=A119)*(Лист2!$B$2:$B$505=B119), Лист2!$D$2:$D$505)</f>
        <v>14009</v>
      </c>
      <c r="G119" s="7" cm="1">
        <f t="array" ref="G119">_xlfn.XLOOKUP(1, (Лист2!$A$2:$A$505=A119)*(Лист2!$B$2:$B$505=B119), Лист2!$E$2:$E$505)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5">
      <c r="A120" s="5">
        <v>43977</v>
      </c>
      <c r="B120" s="6" t="s">
        <v>14</v>
      </c>
      <c r="C120" s="6">
        <v>276966</v>
      </c>
      <c r="D120" s="6">
        <v>27872617.898850001</v>
      </c>
      <c r="E120" s="7" cm="1">
        <f t="array" ref="E120">_xlfn.XLOOKUP(1,(Лист2!$A$2:$A$505=A120)*(Лист2!$B$2:$B$505=B120),(Лист2!$C$2:$C$505))</f>
        <v>129</v>
      </c>
      <c r="F120" s="7" cm="1">
        <f t="array" ref="F120">_xlfn.XLOOKUP(1, (Лист2!$A$2:$A$505=A120)*(Лист2!$B$2:$B$505=B120), Лист2!$D$2:$D$505)</f>
        <v>16459</v>
      </c>
      <c r="G120" s="7" cm="1">
        <f t="array" ref="G120">_xlfn.XLOOKUP(1, (Лист2!$A$2:$A$505=A120)*(Лист2!$B$2:$B$505=B120), Лист2!$E$2:$E$505)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5">
      <c r="A121" s="8">
        <v>43952</v>
      </c>
      <c r="B121" s="9" t="s">
        <v>14</v>
      </c>
      <c r="C121" s="9">
        <v>296149.5</v>
      </c>
      <c r="D121" s="9">
        <v>31053316.5</v>
      </c>
      <c r="E121" s="7" cm="1">
        <f t="array" ref="E121">_xlfn.XLOOKUP(1,(Лист2!$A$2:$A$505=A121)*(Лист2!$B$2:$B$505=B121),(Лист2!$C$2:$C$505))</f>
        <v>129</v>
      </c>
      <c r="F121" s="7" cm="1">
        <f t="array" ref="F121">_xlfn.XLOOKUP(1, (Лист2!$A$2:$A$505=A121)*(Лист2!$B$2:$B$505=B121), Лист2!$D$2:$D$505)</f>
        <v>17002</v>
      </c>
      <c r="G121" s="7" cm="1">
        <f t="array" ref="G121">_xlfn.XLOOKUP(1, (Лист2!$A$2:$A$505=A121)*(Лист2!$B$2:$B$505=B121), Лист2!$E$2:$E$505)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5">
      <c r="A122" s="5">
        <v>43963</v>
      </c>
      <c r="B122" s="6" t="s">
        <v>14</v>
      </c>
      <c r="C122" s="6">
        <v>281796</v>
      </c>
      <c r="D122" s="6">
        <v>29042520</v>
      </c>
      <c r="E122" s="7" cm="1">
        <f t="array" ref="E122">_xlfn.XLOOKUP(1,(Лист2!$A$2:$A$505=A122)*(Лист2!$B$2:$B$505=B122),(Лист2!$C$2:$C$505))</f>
        <v>129</v>
      </c>
      <c r="F122" s="7" cm="1">
        <f t="array" ref="F122">_xlfn.XLOOKUP(1, (Лист2!$A$2:$A$505=A122)*(Лист2!$B$2:$B$505=B122), Лист2!$D$2:$D$505)</f>
        <v>16387</v>
      </c>
      <c r="G122" s="7" cm="1">
        <f t="array" ref="G122">_xlfn.XLOOKUP(1, (Лист2!$A$2:$A$505=A122)*(Лист2!$B$2:$B$505=B122), Лист2!$E$2:$E$505)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5">
      <c r="A123" s="8">
        <v>43972</v>
      </c>
      <c r="B123" s="9" t="s">
        <v>14</v>
      </c>
      <c r="C123" s="9">
        <v>288936</v>
      </c>
      <c r="D123" s="9">
        <v>27852900</v>
      </c>
      <c r="E123" s="7" cm="1">
        <f t="array" ref="E123">_xlfn.XLOOKUP(1,(Лист2!$A$2:$A$505=A123)*(Лист2!$B$2:$B$505=B123),(Лист2!$C$2:$C$505))</f>
        <v>129</v>
      </c>
      <c r="F123" s="7" cm="1">
        <f t="array" ref="F123">_xlfn.XLOOKUP(1, (Лист2!$A$2:$A$505=A123)*(Лист2!$B$2:$B$505=B123), Лист2!$D$2:$D$505)</f>
        <v>16373</v>
      </c>
      <c r="G123" s="7" cm="1">
        <f t="array" ref="G123">_xlfn.XLOOKUP(1, (Лист2!$A$2:$A$505=A123)*(Лист2!$B$2:$B$505=B123), Лист2!$E$2:$E$505)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5">
      <c r="A124" s="5">
        <v>43971</v>
      </c>
      <c r="B124" s="6" t="s">
        <v>14</v>
      </c>
      <c r="C124" s="6">
        <v>300151.5</v>
      </c>
      <c r="D124" s="6">
        <v>29368771.617449999</v>
      </c>
      <c r="E124" s="7" cm="1">
        <f t="array" ref="E124">_xlfn.XLOOKUP(1,(Лист2!$A$2:$A$505=A124)*(Лист2!$B$2:$B$505=B124),(Лист2!$C$2:$C$505))</f>
        <v>129</v>
      </c>
      <c r="F124" s="7" cm="1">
        <f t="array" ref="F124">_xlfn.XLOOKUP(1, (Лист2!$A$2:$A$505=A124)*(Лист2!$B$2:$B$505=B124), Лист2!$D$2:$D$505)</f>
        <v>17095</v>
      </c>
      <c r="G124" s="7" cm="1">
        <f t="array" ref="G124">_xlfn.XLOOKUP(1, (Лист2!$A$2:$A$505=A124)*(Лист2!$B$2:$B$505=B124), Лист2!$E$2:$E$505)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5">
      <c r="A125" s="8">
        <v>43956</v>
      </c>
      <c r="B125" s="9" t="s">
        <v>14</v>
      </c>
      <c r="C125" s="9">
        <v>262734</v>
      </c>
      <c r="D125" s="9">
        <v>27278441.145</v>
      </c>
      <c r="E125" s="7" cm="1">
        <f t="array" ref="E125">_xlfn.XLOOKUP(1,(Лист2!$A$2:$A$505=A125)*(Лист2!$B$2:$B$505=B125),(Лист2!$C$2:$C$505))</f>
        <v>129</v>
      </c>
      <c r="F125" s="7" cm="1">
        <f t="array" ref="F125">_xlfn.XLOOKUP(1, (Лист2!$A$2:$A$505=A125)*(Лист2!$B$2:$B$505=B125), Лист2!$D$2:$D$505)</f>
        <v>15665</v>
      </c>
      <c r="G125" s="7" cm="1">
        <f t="array" ref="G125">_xlfn.XLOOKUP(1, (Лист2!$A$2:$A$505=A125)*(Лист2!$B$2:$B$505=B125), Лист2!$E$2:$E$505)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5">
      <c r="A126" s="5">
        <v>43949</v>
      </c>
      <c r="B126" s="6" t="s">
        <v>14</v>
      </c>
      <c r="C126" s="6">
        <v>286002</v>
      </c>
      <c r="D126" s="6">
        <v>29159032.5</v>
      </c>
      <c r="E126" s="7" cm="1">
        <f t="array" ref="E126">_xlfn.XLOOKUP(1,(Лист2!$A$2:$A$505=A126)*(Лист2!$B$2:$B$505=B126),(Лист2!$C$2:$C$505))</f>
        <v>128</v>
      </c>
      <c r="F126" s="7" cm="1">
        <f t="array" ref="F126">_xlfn.XLOOKUP(1, (Лист2!$A$2:$A$505=A126)*(Лист2!$B$2:$B$505=B126), Лист2!$D$2:$D$505)</f>
        <v>16450</v>
      </c>
      <c r="G126" s="7" cm="1">
        <f t="array" ref="G126">_xlfn.XLOOKUP(1, (Лист2!$A$2:$A$505=A126)*(Лист2!$B$2:$B$505=B126), Лист2!$E$2:$E$505)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5">
      <c r="A127" s="8">
        <v>43964</v>
      </c>
      <c r="B127" s="9" t="s">
        <v>14</v>
      </c>
      <c r="C127" s="9">
        <v>258459</v>
      </c>
      <c r="D127" s="9">
        <v>26467453.5</v>
      </c>
      <c r="E127" s="7" cm="1">
        <f t="array" ref="E127">_xlfn.XLOOKUP(1,(Лист2!$A$2:$A$505=A127)*(Лист2!$B$2:$B$505=B127),(Лист2!$C$2:$C$505))</f>
        <v>129</v>
      </c>
      <c r="F127" s="7" cm="1">
        <f t="array" ref="F127">_xlfn.XLOOKUP(1, (Лист2!$A$2:$A$505=A127)*(Лист2!$B$2:$B$505=B127), Лист2!$D$2:$D$505)</f>
        <v>15304</v>
      </c>
      <c r="G127" s="7" cm="1">
        <f t="array" ref="G127">_xlfn.XLOOKUP(1, (Лист2!$A$2:$A$505=A127)*(Лист2!$B$2:$B$505=B127), Лист2!$E$2:$E$505)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5">
      <c r="A128" s="5">
        <v>43954</v>
      </c>
      <c r="B128" s="6" t="s">
        <v>14</v>
      </c>
      <c r="C128" s="6">
        <v>274083</v>
      </c>
      <c r="D128" s="6">
        <v>28427001</v>
      </c>
      <c r="E128" s="7" cm="1">
        <f t="array" ref="E128">_xlfn.XLOOKUP(1,(Лист2!$A$2:$A$505=A128)*(Лист2!$B$2:$B$505=B128),(Лист2!$C$2:$C$505))</f>
        <v>129</v>
      </c>
      <c r="F128" s="7" cm="1">
        <f t="array" ref="F128">_xlfn.XLOOKUP(1, (Лист2!$A$2:$A$505=A128)*(Лист2!$B$2:$B$505=B128), Лист2!$D$2:$D$505)</f>
        <v>15778</v>
      </c>
      <c r="G128" s="7" cm="1">
        <f t="array" ref="G128">_xlfn.XLOOKUP(1, (Лист2!$A$2:$A$505=A128)*(Лист2!$B$2:$B$505=B128), Лист2!$E$2:$E$505)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35">
      <c r="A129" s="8">
        <v>43957</v>
      </c>
      <c r="B129" s="9" t="s">
        <v>14</v>
      </c>
      <c r="C129" s="9">
        <v>277512</v>
      </c>
      <c r="D129" s="9">
        <v>28770810.105599999</v>
      </c>
      <c r="E129" s="7" cm="1">
        <f t="array" ref="E129">_xlfn.XLOOKUP(1,(Лист2!$A$2:$A$505=A129)*(Лист2!$B$2:$B$505=B129),(Лист2!$C$2:$C$505))</f>
        <v>129</v>
      </c>
      <c r="F129" s="7" cm="1">
        <f t="array" ref="F129">_xlfn.XLOOKUP(1, (Лист2!$A$2:$A$505=A129)*(Лист2!$B$2:$B$505=B129), Лист2!$D$2:$D$505)</f>
        <v>16376</v>
      </c>
      <c r="G129" s="7" cm="1">
        <f t="array" ref="G129">_xlfn.XLOOKUP(1, (Лист2!$A$2:$A$505=A129)*(Лист2!$B$2:$B$505=B129), Лист2!$E$2:$E$505)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5">
      <c r="A130" s="5">
        <v>43974</v>
      </c>
      <c r="B130" s="6" t="s">
        <v>14</v>
      </c>
      <c r="C130" s="6">
        <v>356982</v>
      </c>
      <c r="D130" s="6">
        <v>35103926.711549997</v>
      </c>
      <c r="E130" s="7" cm="1">
        <f t="array" ref="E130">_xlfn.XLOOKUP(1,(Лист2!$A$2:$A$505=A130)*(Лист2!$B$2:$B$505=B130),(Лист2!$C$2:$C$505))</f>
        <v>129</v>
      </c>
      <c r="F130" s="7" cm="1">
        <f t="array" ref="F130">_xlfn.XLOOKUP(1, (Лист2!$A$2:$A$505=A130)*(Лист2!$B$2:$B$505=B130), Лист2!$D$2:$D$505)</f>
        <v>19856</v>
      </c>
      <c r="G130" s="7" cm="1">
        <f t="array" ref="G130">_xlfn.XLOOKUP(1, (Лист2!$A$2:$A$505=A130)*(Лист2!$B$2:$B$505=B130), Лист2!$E$2:$E$505)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35">
      <c r="A131" s="8">
        <v>43976</v>
      </c>
      <c r="B131" s="9" t="s">
        <v>14</v>
      </c>
      <c r="C131" s="9">
        <v>266983.5</v>
      </c>
      <c r="D131" s="9">
        <v>27165913.5</v>
      </c>
      <c r="E131" s="7" cm="1">
        <f t="array" ref="E131">_xlfn.XLOOKUP(1,(Лист2!$A$2:$A$505=A131)*(Лист2!$B$2:$B$505=B131),(Лист2!$C$2:$C$505))</f>
        <v>129</v>
      </c>
      <c r="F131" s="7" cm="1">
        <f t="array" ref="F131">_xlfn.XLOOKUP(1, (Лист2!$A$2:$A$505=A131)*(Лист2!$B$2:$B$505=B131), Лист2!$D$2:$D$505)</f>
        <v>15822</v>
      </c>
      <c r="G131" s="7" cm="1">
        <f t="array" ref="G131">_xlfn.XLOOKUP(1, (Лист2!$A$2:$A$505=A131)*(Лист2!$B$2:$B$505=B131), Лист2!$E$2:$E$505)</f>
        <v>14753</v>
      </c>
      <c r="H131">
        <f t="shared" ref="H131:H194" si="4">D131/E131</f>
        <v>210588.47674418605</v>
      </c>
      <c r="I131">
        <f t="shared" ref="I131:I194" si="5">_xlfn.ISOWEEKNUM(A131)</f>
        <v>22</v>
      </c>
    </row>
    <row r="132" spans="1:9" ht="14.25" customHeight="1" x14ac:dyDescent="0.35">
      <c r="A132" s="5">
        <v>43951</v>
      </c>
      <c r="B132" s="6" t="s">
        <v>14</v>
      </c>
      <c r="C132" s="6">
        <v>311131.5</v>
      </c>
      <c r="D132" s="6">
        <v>32418879</v>
      </c>
      <c r="E132" s="7" cm="1">
        <f t="array" ref="E132">_xlfn.XLOOKUP(1,(Лист2!$A$2:$A$505=A132)*(Лист2!$B$2:$B$505=B132),(Лист2!$C$2:$C$505))</f>
        <v>129</v>
      </c>
      <c r="F132" s="7" cm="1">
        <f t="array" ref="F132">_xlfn.XLOOKUP(1, (Лист2!$A$2:$A$505=A132)*(Лист2!$B$2:$B$505=B132), Лист2!$D$2:$D$505)</f>
        <v>18042</v>
      </c>
      <c r="G132" s="7" cm="1">
        <f t="array" ref="G132">_xlfn.XLOOKUP(1, (Лист2!$A$2:$A$505=A132)*(Лист2!$B$2:$B$505=B132), Лист2!$E$2:$E$505)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5">
      <c r="A133" s="8">
        <v>43961</v>
      </c>
      <c r="B133" s="9" t="s">
        <v>14</v>
      </c>
      <c r="C133" s="9">
        <v>287206.5</v>
      </c>
      <c r="D133" s="9">
        <v>29536176.10605</v>
      </c>
      <c r="E133" s="7" cm="1">
        <f t="array" ref="E133">_xlfn.XLOOKUP(1,(Лист2!$A$2:$A$505=A133)*(Лист2!$B$2:$B$505=B133),(Лист2!$C$2:$C$505))</f>
        <v>129</v>
      </c>
      <c r="F133" s="7" cm="1">
        <f t="array" ref="F133">_xlfn.XLOOKUP(1, (Лист2!$A$2:$A$505=A133)*(Лист2!$B$2:$B$505=B133), Лист2!$D$2:$D$505)</f>
        <v>16437</v>
      </c>
      <c r="G133" s="7" cm="1">
        <f t="array" ref="G133">_xlfn.XLOOKUP(1, (Лист2!$A$2:$A$505=A133)*(Лист2!$B$2:$B$505=B133), Лист2!$E$2:$E$505)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35">
      <c r="A134" s="5">
        <v>43959</v>
      </c>
      <c r="B134" s="6" t="s">
        <v>14</v>
      </c>
      <c r="C134" s="6">
        <v>370092</v>
      </c>
      <c r="D134" s="6">
        <v>38091556.5</v>
      </c>
      <c r="E134" s="7" cm="1">
        <f t="array" ref="E134">_xlfn.XLOOKUP(1,(Лист2!$A$2:$A$505=A134)*(Лист2!$B$2:$B$505=B134),(Лист2!$C$2:$C$505))</f>
        <v>129</v>
      </c>
      <c r="F134" s="7" cm="1">
        <f t="array" ref="F134">_xlfn.XLOOKUP(1, (Лист2!$A$2:$A$505=A134)*(Лист2!$B$2:$B$505=B134), Лист2!$D$2:$D$505)</f>
        <v>20452</v>
      </c>
      <c r="G134" s="7" cm="1">
        <f t="array" ref="G134">_xlfn.XLOOKUP(1, (Лист2!$A$2:$A$505=A134)*(Лист2!$B$2:$B$505=B134), Лист2!$E$2:$E$505)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5">
      <c r="A135" s="8">
        <v>43958</v>
      </c>
      <c r="B135" s="9" t="s">
        <v>14</v>
      </c>
      <c r="C135" s="9">
        <v>247813.5</v>
      </c>
      <c r="D135" s="9">
        <v>25325271</v>
      </c>
      <c r="E135" s="7" cm="1">
        <f t="array" ref="E135">_xlfn.XLOOKUP(1,(Лист2!$A$2:$A$505=A135)*(Лист2!$B$2:$B$505=B135),(Лист2!$C$2:$C$505))</f>
        <v>129</v>
      </c>
      <c r="F135" s="7" cm="1">
        <f t="array" ref="F135">_xlfn.XLOOKUP(1, (Лист2!$A$2:$A$505=A135)*(Лист2!$B$2:$B$505=B135), Лист2!$D$2:$D$505)</f>
        <v>14582</v>
      </c>
      <c r="G135" s="7" cm="1">
        <f t="array" ref="G135">_xlfn.XLOOKUP(1, (Лист2!$A$2:$A$505=A135)*(Лист2!$B$2:$B$505=B135), Лист2!$E$2:$E$505)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5">
      <c r="A136" s="5">
        <v>43975</v>
      </c>
      <c r="B136" s="6" t="s">
        <v>14</v>
      </c>
      <c r="C136" s="6">
        <v>287740.5</v>
      </c>
      <c r="D136" s="6">
        <v>28188534</v>
      </c>
      <c r="E136" s="7" cm="1">
        <f t="array" ref="E136">_xlfn.XLOOKUP(1,(Лист2!$A$2:$A$505=A136)*(Лист2!$B$2:$B$505=B136),(Лист2!$C$2:$C$505))</f>
        <v>129</v>
      </c>
      <c r="F136" s="7" cm="1">
        <f t="array" ref="F136">_xlfn.XLOOKUP(1, (Лист2!$A$2:$A$505=A136)*(Лист2!$B$2:$B$505=B136), Лист2!$D$2:$D$505)</f>
        <v>16432</v>
      </c>
      <c r="G136" s="7" cm="1">
        <f t="array" ref="G136">_xlfn.XLOOKUP(1, (Лист2!$A$2:$A$505=A136)*(Лист2!$B$2:$B$505=B136), Лист2!$E$2:$E$505)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35">
      <c r="A137" s="8">
        <v>43967</v>
      </c>
      <c r="B137" s="9" t="s">
        <v>15</v>
      </c>
      <c r="C137" s="9">
        <v>408810</v>
      </c>
      <c r="D137" s="9">
        <v>42323631</v>
      </c>
      <c r="E137" s="7" cm="1">
        <f t="array" ref="E137">_xlfn.XLOOKUP(1,(Лист2!$A$2:$A$505=A137)*(Лист2!$B$2:$B$505=B137),(Лист2!$C$2:$C$505))</f>
        <v>125</v>
      </c>
      <c r="F137" s="7" cm="1">
        <f t="array" ref="F137">_xlfn.XLOOKUP(1, (Лист2!$A$2:$A$505=A137)*(Лист2!$B$2:$B$505=B137), Лист2!$D$2:$D$505)</f>
        <v>22291</v>
      </c>
      <c r="G137" s="7" cm="1">
        <f t="array" ref="G137">_xlfn.XLOOKUP(1, (Лист2!$A$2:$A$505=A137)*(Лист2!$B$2:$B$505=B137), Лист2!$E$2:$E$505)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5">
      <c r="A138" s="5">
        <v>43970</v>
      </c>
      <c r="B138" s="6" t="s">
        <v>15</v>
      </c>
      <c r="C138" s="6">
        <v>362536.5</v>
      </c>
      <c r="D138" s="6">
        <v>37023243</v>
      </c>
      <c r="E138" s="7" cm="1">
        <f t="array" ref="E138">_xlfn.XLOOKUP(1,(Лист2!$A$2:$A$505=A138)*(Лист2!$B$2:$B$505=B138),(Лист2!$C$2:$C$505))</f>
        <v>125</v>
      </c>
      <c r="F138" s="7" cm="1">
        <f t="array" ref="F138">_xlfn.XLOOKUP(1, (Лист2!$A$2:$A$505=A138)*(Лист2!$B$2:$B$505=B138), Лист2!$D$2:$D$505)</f>
        <v>20771</v>
      </c>
      <c r="G138" s="7" cm="1">
        <f t="array" ref="G138">_xlfn.XLOOKUP(1, (Лист2!$A$2:$A$505=A138)*(Лист2!$B$2:$B$505=B138), Лист2!$E$2:$E$505)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5">
      <c r="A139" s="8">
        <v>43968</v>
      </c>
      <c r="B139" s="9" t="s">
        <v>15</v>
      </c>
      <c r="C139" s="9">
        <v>357072</v>
      </c>
      <c r="D139" s="9">
        <v>36834567</v>
      </c>
      <c r="E139" s="7" cm="1">
        <f t="array" ref="E139">_xlfn.XLOOKUP(1,(Лист2!$A$2:$A$505=A139)*(Лист2!$B$2:$B$505=B139),(Лист2!$C$2:$C$505))</f>
        <v>125</v>
      </c>
      <c r="F139" s="7" cm="1">
        <f t="array" ref="F139">_xlfn.XLOOKUP(1, (Лист2!$A$2:$A$505=A139)*(Лист2!$B$2:$B$505=B139), Лист2!$D$2:$D$505)</f>
        <v>20079</v>
      </c>
      <c r="G139" s="7" cm="1">
        <f t="array" ref="G139">_xlfn.XLOOKUP(1, (Лист2!$A$2:$A$505=A139)*(Лист2!$B$2:$B$505=B139), Лист2!$E$2:$E$505)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35">
      <c r="A140" s="5">
        <v>43960</v>
      </c>
      <c r="B140" s="6" t="s">
        <v>15</v>
      </c>
      <c r="C140" s="6">
        <v>359214</v>
      </c>
      <c r="D140" s="6">
        <v>38693427</v>
      </c>
      <c r="E140" s="7" cm="1">
        <f t="array" ref="E140">_xlfn.XLOOKUP(1,(Лист2!$A$2:$A$505=A140)*(Лист2!$B$2:$B$505=B140),(Лист2!$C$2:$C$505))</f>
        <v>125</v>
      </c>
      <c r="F140" s="7" cm="1">
        <f t="array" ref="F140">_xlfn.XLOOKUP(1, (Лист2!$A$2:$A$505=A140)*(Лист2!$B$2:$B$505=B140), Лист2!$D$2:$D$505)</f>
        <v>20132</v>
      </c>
      <c r="G140" s="7" cm="1">
        <f t="array" ref="G140">_xlfn.XLOOKUP(1, (Лист2!$A$2:$A$505=A140)*(Лист2!$B$2:$B$505=B140), Лист2!$E$2:$E$505)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5">
      <c r="A141" s="8">
        <v>43955</v>
      </c>
      <c r="B141" s="9" t="s">
        <v>15</v>
      </c>
      <c r="C141" s="9">
        <v>360255</v>
      </c>
      <c r="D141" s="9">
        <v>38406954</v>
      </c>
      <c r="E141" s="7" cm="1">
        <f t="array" ref="E141">_xlfn.XLOOKUP(1,(Лист2!$A$2:$A$505=A141)*(Лист2!$B$2:$B$505=B141),(Лист2!$C$2:$C$505))</f>
        <v>125</v>
      </c>
      <c r="F141" s="7" cm="1">
        <f t="array" ref="F141">_xlfn.XLOOKUP(1, (Лист2!$A$2:$A$505=A141)*(Лист2!$B$2:$B$505=B141), Лист2!$D$2:$D$505)</f>
        <v>20495</v>
      </c>
      <c r="G141" s="7" cm="1">
        <f t="array" ref="G141">_xlfn.XLOOKUP(1, (Лист2!$A$2:$A$505=A141)*(Лист2!$B$2:$B$505=B141), Лист2!$E$2:$E$505)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5">
      <c r="A142" s="5">
        <v>43950</v>
      </c>
      <c r="B142" s="6" t="s">
        <v>15</v>
      </c>
      <c r="C142" s="6">
        <v>387220.5</v>
      </c>
      <c r="D142" s="6">
        <v>41559384</v>
      </c>
      <c r="E142" s="7" cm="1">
        <f t="array" ref="E142">_xlfn.XLOOKUP(1,(Лист2!$A$2:$A$505=A142)*(Лист2!$B$2:$B$505=B142),(Лист2!$C$2:$C$505))</f>
        <v>125</v>
      </c>
      <c r="F142" s="7" cm="1">
        <f t="array" ref="F142">_xlfn.XLOOKUP(1, (Лист2!$A$2:$A$505=A142)*(Лист2!$B$2:$B$505=B142), Лист2!$D$2:$D$505)</f>
        <v>21863</v>
      </c>
      <c r="G142" s="7" cm="1">
        <f t="array" ref="G142">_xlfn.XLOOKUP(1, (Лист2!$A$2:$A$505=A142)*(Лист2!$B$2:$B$505=B142), Лист2!$E$2:$E$505)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5">
      <c r="A143" s="8">
        <v>43953</v>
      </c>
      <c r="B143" s="9" t="s">
        <v>15</v>
      </c>
      <c r="C143" s="9">
        <v>296580</v>
      </c>
      <c r="D143" s="9">
        <v>31843737</v>
      </c>
      <c r="E143" s="7" cm="1">
        <f t="array" ref="E143">_xlfn.XLOOKUP(1,(Лист2!$A$2:$A$505=A143)*(Лист2!$B$2:$B$505=B143),(Лист2!$C$2:$C$505))</f>
        <v>125</v>
      </c>
      <c r="F143" s="7" cm="1">
        <f t="array" ref="F143">_xlfn.XLOOKUP(1, (Лист2!$A$2:$A$505=A143)*(Лист2!$B$2:$B$505=B143), Лист2!$D$2:$D$505)</f>
        <v>16932</v>
      </c>
      <c r="G143" s="7" cm="1">
        <f t="array" ref="G143">_xlfn.XLOOKUP(1, (Лист2!$A$2:$A$505=A143)*(Лист2!$B$2:$B$505=B143), Лист2!$E$2:$E$505)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5">
      <c r="A144" s="5">
        <v>43977</v>
      </c>
      <c r="B144" s="6" t="s">
        <v>15</v>
      </c>
      <c r="C144" s="6">
        <v>369861</v>
      </c>
      <c r="D144" s="6">
        <v>38365960.5</v>
      </c>
      <c r="E144" s="7" cm="1">
        <f t="array" ref="E144">_xlfn.XLOOKUP(1,(Лист2!$A$2:$A$505=A144)*(Лист2!$B$2:$B$505=B144),(Лист2!$C$2:$C$505))</f>
        <v>124</v>
      </c>
      <c r="F144" s="7" cm="1">
        <f t="array" ref="F144">_xlfn.XLOOKUP(1, (Лист2!$A$2:$A$505=A144)*(Лист2!$B$2:$B$505=B144), Лист2!$D$2:$D$505)</f>
        <v>21153</v>
      </c>
      <c r="G144" s="7" cm="1">
        <f t="array" ref="G144">_xlfn.XLOOKUP(1, (Лист2!$A$2:$A$505=A144)*(Лист2!$B$2:$B$505=B144), Лист2!$E$2:$E$505)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5">
      <c r="A145" s="8">
        <v>43952</v>
      </c>
      <c r="B145" s="9" t="s">
        <v>15</v>
      </c>
      <c r="C145" s="9">
        <v>372504</v>
      </c>
      <c r="D145" s="9">
        <v>40077193.5</v>
      </c>
      <c r="E145" s="7" cm="1">
        <f t="array" ref="E145">_xlfn.XLOOKUP(1,(Лист2!$A$2:$A$505=A145)*(Лист2!$B$2:$B$505=B145),(Лист2!$C$2:$C$505))</f>
        <v>125</v>
      </c>
      <c r="F145" s="7" cm="1">
        <f t="array" ref="F145">_xlfn.XLOOKUP(1, (Лист2!$A$2:$A$505=A145)*(Лист2!$B$2:$B$505=B145), Лист2!$D$2:$D$505)</f>
        <v>20602</v>
      </c>
      <c r="G145" s="7" cm="1">
        <f t="array" ref="G145">_xlfn.XLOOKUP(1, (Лист2!$A$2:$A$505=A145)*(Лист2!$B$2:$B$505=B145), Лист2!$E$2:$E$505)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5">
      <c r="A146" s="5">
        <v>43963</v>
      </c>
      <c r="B146" s="6" t="s">
        <v>15</v>
      </c>
      <c r="C146" s="6">
        <v>373392</v>
      </c>
      <c r="D146" s="6">
        <v>39578577</v>
      </c>
      <c r="E146" s="7" cm="1">
        <f t="array" ref="E146">_xlfn.XLOOKUP(1,(Лист2!$A$2:$A$505=A146)*(Лист2!$B$2:$B$505=B146),(Лист2!$C$2:$C$505))</f>
        <v>125</v>
      </c>
      <c r="F146" s="7" cm="1">
        <f t="array" ref="F146">_xlfn.XLOOKUP(1, (Лист2!$A$2:$A$505=A146)*(Лист2!$B$2:$B$505=B146), Лист2!$D$2:$D$505)</f>
        <v>21106</v>
      </c>
      <c r="G146" s="7" cm="1">
        <f t="array" ref="G146">_xlfn.XLOOKUP(1, (Лист2!$A$2:$A$505=A146)*(Лист2!$B$2:$B$505=B146), Лист2!$E$2:$E$505)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5">
      <c r="A147" s="8">
        <v>43972</v>
      </c>
      <c r="B147" s="9" t="s">
        <v>15</v>
      </c>
      <c r="C147" s="9">
        <v>378043.5</v>
      </c>
      <c r="D147" s="9">
        <v>37902156.57</v>
      </c>
      <c r="E147" s="7" cm="1">
        <f t="array" ref="E147">_xlfn.XLOOKUP(1,(Лист2!$A$2:$A$505=A147)*(Лист2!$B$2:$B$505=B147),(Лист2!$C$2:$C$505))</f>
        <v>125</v>
      </c>
      <c r="F147" s="7" cm="1">
        <f t="array" ref="F147">_xlfn.XLOOKUP(1, (Лист2!$A$2:$A$505=A147)*(Лист2!$B$2:$B$505=B147), Лист2!$D$2:$D$505)</f>
        <v>20911</v>
      </c>
      <c r="G147" s="7" cm="1">
        <f t="array" ref="G147">_xlfn.XLOOKUP(1, (Лист2!$A$2:$A$505=A147)*(Лист2!$B$2:$B$505=B147), Лист2!$E$2:$E$505)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5">
      <c r="A148" s="5">
        <v>43971</v>
      </c>
      <c r="B148" s="6" t="s">
        <v>15</v>
      </c>
      <c r="C148" s="6">
        <v>388668</v>
      </c>
      <c r="D148" s="6">
        <v>39639309</v>
      </c>
      <c r="E148" s="7" cm="1">
        <f t="array" ref="E148">_xlfn.XLOOKUP(1,(Лист2!$A$2:$A$505=A148)*(Лист2!$B$2:$B$505=B148),(Лист2!$C$2:$C$505))</f>
        <v>125</v>
      </c>
      <c r="F148" s="7" cm="1">
        <f t="array" ref="F148">_xlfn.XLOOKUP(1, (Лист2!$A$2:$A$505=A148)*(Лист2!$B$2:$B$505=B148), Лист2!$D$2:$D$505)</f>
        <v>21674</v>
      </c>
      <c r="G148" s="7" cm="1">
        <f t="array" ref="G148">_xlfn.XLOOKUP(1, (Лист2!$A$2:$A$505=A148)*(Лист2!$B$2:$B$505=B148), Лист2!$E$2:$E$505)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5">
      <c r="A149" s="8">
        <v>43956</v>
      </c>
      <c r="B149" s="9" t="s">
        <v>15</v>
      </c>
      <c r="C149" s="9">
        <v>333792</v>
      </c>
      <c r="D149" s="9">
        <v>35671734</v>
      </c>
      <c r="E149" s="7" cm="1">
        <f t="array" ref="E149">_xlfn.XLOOKUP(1,(Лист2!$A$2:$A$505=A149)*(Лист2!$B$2:$B$505=B149),(Лист2!$C$2:$C$505))</f>
        <v>125</v>
      </c>
      <c r="F149" s="7" cm="1">
        <f t="array" ref="F149">_xlfn.XLOOKUP(1, (Лист2!$A$2:$A$505=A149)*(Лист2!$B$2:$B$505=B149), Лист2!$D$2:$D$505)</f>
        <v>18944</v>
      </c>
      <c r="G149" s="7" cm="1">
        <f t="array" ref="G149">_xlfn.XLOOKUP(1, (Лист2!$A$2:$A$505=A149)*(Лист2!$B$2:$B$505=B149), Лист2!$E$2:$E$505)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5">
      <c r="A150" s="5">
        <v>43949</v>
      </c>
      <c r="B150" s="6" t="s">
        <v>15</v>
      </c>
      <c r="C150" s="6">
        <v>376060.5</v>
      </c>
      <c r="D150" s="6">
        <v>39918028.5</v>
      </c>
      <c r="E150" s="7" cm="1">
        <f t="array" ref="E150">_xlfn.XLOOKUP(1,(Лист2!$A$2:$A$505=A150)*(Лист2!$B$2:$B$505=B150),(Лист2!$C$2:$C$505))</f>
        <v>125</v>
      </c>
      <c r="F150" s="7" cm="1">
        <f t="array" ref="F150">_xlfn.XLOOKUP(1, (Лист2!$A$2:$A$505=A150)*(Лист2!$B$2:$B$505=B150), Лист2!$D$2:$D$505)</f>
        <v>20914</v>
      </c>
      <c r="G150" s="7" cm="1">
        <f t="array" ref="G150">_xlfn.XLOOKUP(1, (Лист2!$A$2:$A$505=A150)*(Лист2!$B$2:$B$505=B150), Лист2!$E$2:$E$505)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5">
      <c r="A151" s="8">
        <v>43964</v>
      </c>
      <c r="B151" s="9" t="s">
        <v>15</v>
      </c>
      <c r="C151" s="9">
        <v>350068.5</v>
      </c>
      <c r="D151" s="9">
        <v>37197115.5</v>
      </c>
      <c r="E151" s="7" cm="1">
        <f t="array" ref="E151">_xlfn.XLOOKUP(1,(Лист2!$A$2:$A$505=A151)*(Лист2!$B$2:$B$505=B151),(Лист2!$C$2:$C$505))</f>
        <v>125</v>
      </c>
      <c r="F151" s="7" cm="1">
        <f t="array" ref="F151">_xlfn.XLOOKUP(1, (Лист2!$A$2:$A$505=A151)*(Лист2!$B$2:$B$505=B151), Лист2!$D$2:$D$505)</f>
        <v>19965</v>
      </c>
      <c r="G151" s="7" cm="1">
        <f t="array" ref="G151">_xlfn.XLOOKUP(1, (Лист2!$A$2:$A$505=A151)*(Лист2!$B$2:$B$505=B151), Лист2!$E$2:$E$505)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5">
      <c r="A152" s="5">
        <v>43982</v>
      </c>
      <c r="B152" s="6" t="s">
        <v>14</v>
      </c>
      <c r="C152" s="6">
        <v>294337.5</v>
      </c>
      <c r="D152" s="6">
        <v>29327766</v>
      </c>
      <c r="E152" s="7" cm="1">
        <f t="array" ref="E152">_xlfn.XLOOKUP(1,(Лист2!$A$2:$A$505=A152)*(Лист2!$B$2:$B$505=B152),(Лист2!$C$2:$C$505))</f>
        <v>129</v>
      </c>
      <c r="F152" s="7" cm="1">
        <f t="array" ref="F152">_xlfn.XLOOKUP(1, (Лист2!$A$2:$A$505=A152)*(Лист2!$B$2:$B$505=B152), Лист2!$D$2:$D$505)</f>
        <v>17235</v>
      </c>
      <c r="G152" s="7" cm="1">
        <f t="array" ref="G152">_xlfn.XLOOKUP(1, (Лист2!$A$2:$A$505=A152)*(Лист2!$B$2:$B$505=B152), Лист2!$E$2:$E$505)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35">
      <c r="A153" s="8">
        <v>43954</v>
      </c>
      <c r="B153" s="9" t="s">
        <v>15</v>
      </c>
      <c r="C153" s="9">
        <v>342666</v>
      </c>
      <c r="D153" s="9">
        <v>36631999.5</v>
      </c>
      <c r="E153" s="7" cm="1">
        <f t="array" ref="E153">_xlfn.XLOOKUP(1,(Лист2!$A$2:$A$505=A153)*(Лист2!$B$2:$B$505=B153),(Лист2!$C$2:$C$505))</f>
        <v>125</v>
      </c>
      <c r="F153" s="7" cm="1">
        <f t="array" ref="F153">_xlfn.XLOOKUP(1, (Лист2!$A$2:$A$505=A153)*(Лист2!$B$2:$B$505=B153), Лист2!$D$2:$D$505)</f>
        <v>18861</v>
      </c>
      <c r="G153" s="7" cm="1">
        <f t="array" ref="G153">_xlfn.XLOOKUP(1, (Лист2!$A$2:$A$505=A153)*(Лист2!$B$2:$B$505=B153), Лист2!$E$2:$E$505)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35">
      <c r="A154" s="5">
        <v>43981</v>
      </c>
      <c r="B154" s="6" t="s">
        <v>14</v>
      </c>
      <c r="C154" s="6">
        <v>364882.5</v>
      </c>
      <c r="D154" s="6">
        <v>35724493.5</v>
      </c>
      <c r="E154" s="7" cm="1">
        <f t="array" ref="E154">_xlfn.XLOOKUP(1,(Лист2!$A$2:$A$505=A154)*(Лист2!$B$2:$B$505=B154),(Лист2!$C$2:$C$505))</f>
        <v>129</v>
      </c>
      <c r="F154" s="7" cm="1">
        <f t="array" ref="F154">_xlfn.XLOOKUP(1, (Лист2!$A$2:$A$505=A154)*(Лист2!$B$2:$B$505=B154), Лист2!$D$2:$D$505)</f>
        <v>20243</v>
      </c>
      <c r="G154" s="7" cm="1">
        <f t="array" ref="G154">_xlfn.XLOOKUP(1, (Лист2!$A$2:$A$505=A154)*(Лист2!$B$2:$B$505=B154), Лист2!$E$2:$E$505)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5">
      <c r="A155" s="8">
        <v>43957</v>
      </c>
      <c r="B155" s="9" t="s">
        <v>15</v>
      </c>
      <c r="C155" s="9">
        <v>355278</v>
      </c>
      <c r="D155" s="9">
        <v>38092344</v>
      </c>
      <c r="E155" s="7" cm="1">
        <f t="array" ref="E155">_xlfn.XLOOKUP(1,(Лист2!$A$2:$A$505=A155)*(Лист2!$B$2:$B$505=B155),(Лист2!$C$2:$C$505))</f>
        <v>125</v>
      </c>
      <c r="F155" s="7" cm="1">
        <f t="array" ref="F155">_xlfn.XLOOKUP(1, (Лист2!$A$2:$A$505=A155)*(Лист2!$B$2:$B$505=B155), Лист2!$D$2:$D$505)</f>
        <v>20218</v>
      </c>
      <c r="G155" s="7" cm="1">
        <f t="array" ref="G155">_xlfn.XLOOKUP(1, (Лист2!$A$2:$A$505=A155)*(Лист2!$B$2:$B$505=B155), Лист2!$E$2:$E$505)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5">
      <c r="A156" s="5">
        <v>43974</v>
      </c>
      <c r="B156" s="6" t="s">
        <v>15</v>
      </c>
      <c r="C156" s="6">
        <v>456885</v>
      </c>
      <c r="D156" s="6">
        <v>46408080</v>
      </c>
      <c r="E156" s="7" cm="1">
        <f t="array" ref="E156">_xlfn.XLOOKUP(1,(Лист2!$A$2:$A$505=A156)*(Лист2!$B$2:$B$505=B156),(Лист2!$C$2:$C$505))</f>
        <v>125</v>
      </c>
      <c r="F156" s="7" cm="1">
        <f t="array" ref="F156">_xlfn.XLOOKUP(1, (Лист2!$A$2:$A$505=A156)*(Лист2!$B$2:$B$505=B156), Лист2!$D$2:$D$505)</f>
        <v>24574</v>
      </c>
      <c r="G156" s="7" cm="1">
        <f t="array" ref="G156">_xlfn.XLOOKUP(1, (Лист2!$A$2:$A$505=A156)*(Лист2!$B$2:$B$505=B156), Лист2!$E$2:$E$505)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5">
      <c r="A157" s="8">
        <v>43979</v>
      </c>
      <c r="B157" s="9" t="s">
        <v>14</v>
      </c>
      <c r="C157" s="9">
        <v>278491.5</v>
      </c>
      <c r="D157" s="9">
        <v>28151004.75</v>
      </c>
      <c r="E157" s="7" cm="1">
        <f t="array" ref="E157">_xlfn.XLOOKUP(1,(Лист2!$A$2:$A$505=A157)*(Лист2!$B$2:$B$505=B157),(Лист2!$C$2:$C$505))</f>
        <v>129</v>
      </c>
      <c r="F157" s="7" cm="1">
        <f t="array" ref="F157">_xlfn.XLOOKUP(1, (Лист2!$A$2:$A$505=A157)*(Лист2!$B$2:$B$505=B157), Лист2!$D$2:$D$505)</f>
        <v>16453</v>
      </c>
      <c r="G157" s="7" cm="1">
        <f t="array" ref="G157">_xlfn.XLOOKUP(1, (Лист2!$A$2:$A$505=A157)*(Лист2!$B$2:$B$505=B157), Лист2!$E$2:$E$505)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5">
      <c r="A158" s="5">
        <v>43976</v>
      </c>
      <c r="B158" s="6" t="s">
        <v>15</v>
      </c>
      <c r="C158" s="6">
        <v>349734</v>
      </c>
      <c r="D158" s="6">
        <v>36883428</v>
      </c>
      <c r="E158" s="7" cm="1">
        <f t="array" ref="E158">_xlfn.XLOOKUP(1,(Лист2!$A$2:$A$505=A158)*(Лист2!$B$2:$B$505=B158),(Лист2!$C$2:$C$505))</f>
        <v>124</v>
      </c>
      <c r="F158" s="7" cm="1">
        <f t="array" ref="F158">_xlfn.XLOOKUP(1, (Лист2!$A$2:$A$505=A158)*(Лист2!$B$2:$B$505=B158), Лист2!$D$2:$D$505)</f>
        <v>20358</v>
      </c>
      <c r="G158" s="7" cm="1">
        <f t="array" ref="G158">_xlfn.XLOOKUP(1, (Лист2!$A$2:$A$505=A158)*(Лист2!$B$2:$B$505=B158), Лист2!$E$2:$E$505)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5">
      <c r="A159" s="8">
        <v>43951</v>
      </c>
      <c r="B159" s="9" t="s">
        <v>15</v>
      </c>
      <c r="C159" s="9">
        <v>401580</v>
      </c>
      <c r="D159" s="9">
        <v>43028734.5</v>
      </c>
      <c r="E159" s="7" cm="1">
        <f t="array" ref="E159">_xlfn.XLOOKUP(1,(Лист2!$A$2:$A$505=A159)*(Лист2!$B$2:$B$505=B159),(Лист2!$C$2:$C$505))</f>
        <v>125</v>
      </c>
      <c r="F159" s="7" cm="1">
        <f t="array" ref="F159">_xlfn.XLOOKUP(1, (Лист2!$A$2:$A$505=A159)*(Лист2!$B$2:$B$505=B159), Лист2!$D$2:$D$505)</f>
        <v>22368</v>
      </c>
      <c r="G159" s="7" cm="1">
        <f t="array" ref="G159">_xlfn.XLOOKUP(1, (Лист2!$A$2:$A$505=A159)*(Лист2!$B$2:$B$505=B159), Лист2!$E$2:$E$505)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5">
      <c r="A160" s="5">
        <v>43961</v>
      </c>
      <c r="B160" s="6" t="s">
        <v>15</v>
      </c>
      <c r="C160" s="6">
        <v>368649</v>
      </c>
      <c r="D160" s="6">
        <v>39010875</v>
      </c>
      <c r="E160" s="7" cm="1">
        <f t="array" ref="E160">_xlfn.XLOOKUP(1,(Лист2!$A$2:$A$505=A160)*(Лист2!$B$2:$B$505=B160),(Лист2!$C$2:$C$505))</f>
        <v>125</v>
      </c>
      <c r="F160" s="7" cm="1">
        <f t="array" ref="F160">_xlfn.XLOOKUP(1, (Лист2!$A$2:$A$505=A160)*(Лист2!$B$2:$B$505=B160), Лист2!$D$2:$D$505)</f>
        <v>20368</v>
      </c>
      <c r="G160" s="7" cm="1">
        <f t="array" ref="G160">_xlfn.XLOOKUP(1, (Лист2!$A$2:$A$505=A160)*(Лист2!$B$2:$B$505=B160), Лист2!$E$2:$E$505)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35">
      <c r="A161" s="8">
        <v>43959</v>
      </c>
      <c r="B161" s="9" t="s">
        <v>15</v>
      </c>
      <c r="C161" s="9">
        <v>463530</v>
      </c>
      <c r="D161" s="9">
        <v>49123180.5</v>
      </c>
      <c r="E161" s="7" cm="1">
        <f t="array" ref="E161">_xlfn.XLOOKUP(1,(Лист2!$A$2:$A$505=A161)*(Лист2!$B$2:$B$505=B161),(Лист2!$C$2:$C$505))</f>
        <v>125</v>
      </c>
      <c r="F161" s="7" cm="1">
        <f t="array" ref="F161">_xlfn.XLOOKUP(1, (Лист2!$A$2:$A$505=A161)*(Лист2!$B$2:$B$505=B161), Лист2!$D$2:$D$505)</f>
        <v>24620</v>
      </c>
      <c r="G161" s="7" cm="1">
        <f t="array" ref="G161">_xlfn.XLOOKUP(1, (Лист2!$A$2:$A$505=A161)*(Лист2!$B$2:$B$505=B161), Лист2!$E$2:$E$505)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5">
      <c r="A162" s="5">
        <v>43958</v>
      </c>
      <c r="B162" s="6" t="s">
        <v>15</v>
      </c>
      <c r="C162" s="6">
        <v>319110</v>
      </c>
      <c r="D162" s="6">
        <v>33763989</v>
      </c>
      <c r="E162" s="7" cm="1">
        <f t="array" ref="E162">_xlfn.XLOOKUP(1,(Лист2!$A$2:$A$505=A162)*(Лист2!$B$2:$B$505=B162),(Лист2!$C$2:$C$505))</f>
        <v>125</v>
      </c>
      <c r="F162" s="7" cm="1">
        <f t="array" ref="F162">_xlfn.XLOOKUP(1, (Лист2!$A$2:$A$505=A162)*(Лист2!$B$2:$B$505=B162), Лист2!$D$2:$D$505)</f>
        <v>18014</v>
      </c>
      <c r="G162" s="7" cm="1">
        <f t="array" ref="G162">_xlfn.XLOOKUP(1, (Лист2!$A$2:$A$505=A162)*(Лист2!$B$2:$B$505=B162), Лист2!$E$2:$E$505)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5">
      <c r="A163" s="8">
        <v>43975</v>
      </c>
      <c r="B163" s="9" t="s">
        <v>15</v>
      </c>
      <c r="C163" s="9">
        <v>375744</v>
      </c>
      <c r="D163" s="9">
        <v>38191381.5</v>
      </c>
      <c r="E163" s="7" cm="1">
        <f t="array" ref="E163">_xlfn.XLOOKUP(1,(Лист2!$A$2:$A$505=A163)*(Лист2!$B$2:$B$505=B163),(Лист2!$C$2:$C$505))</f>
        <v>125</v>
      </c>
      <c r="F163" s="7" cm="1">
        <f t="array" ref="F163">_xlfn.XLOOKUP(1, (Лист2!$A$2:$A$505=A163)*(Лист2!$B$2:$B$505=B163), Лист2!$D$2:$D$505)</f>
        <v>21004</v>
      </c>
      <c r="G163" s="7" cm="1">
        <f t="array" ref="G163">_xlfn.XLOOKUP(1, (Лист2!$A$2:$A$505=A163)*(Лист2!$B$2:$B$505=B163), Лист2!$E$2:$E$505)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35">
      <c r="A164" s="5">
        <v>43967</v>
      </c>
      <c r="B164" s="6" t="s">
        <v>16</v>
      </c>
      <c r="C164" s="6">
        <v>81331.5</v>
      </c>
      <c r="D164" s="6">
        <v>6652179</v>
      </c>
      <c r="E164" s="7" cm="1">
        <f t="array" ref="E164">_xlfn.XLOOKUP(1,(Лист2!$A$2:$A$505=A164)*(Лист2!$B$2:$B$505=B164),(Лист2!$C$2:$C$505))</f>
        <v>36</v>
      </c>
      <c r="F164" s="7" cm="1">
        <f t="array" ref="F164">_xlfn.XLOOKUP(1, (Лист2!$A$2:$A$505=A164)*(Лист2!$B$2:$B$505=B164), Лист2!$D$2:$D$505)</f>
        <v>5286</v>
      </c>
      <c r="G164" s="7" cm="1">
        <f t="array" ref="G164">_xlfn.XLOOKUP(1, (Лист2!$A$2:$A$505=A164)*(Лист2!$B$2:$B$505=B164), Лист2!$E$2:$E$505)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5">
      <c r="A165" s="8">
        <v>43970</v>
      </c>
      <c r="B165" s="9" t="s">
        <v>16</v>
      </c>
      <c r="C165" s="9">
        <v>75796.5</v>
      </c>
      <c r="D165" s="9">
        <v>6173463</v>
      </c>
      <c r="E165" s="7" cm="1">
        <f t="array" ref="E165">_xlfn.XLOOKUP(1,(Лист2!$A$2:$A$505=A165)*(Лист2!$B$2:$B$505=B165),(Лист2!$C$2:$C$505))</f>
        <v>36</v>
      </c>
      <c r="F165" s="7" cm="1">
        <f t="array" ref="F165">_xlfn.XLOOKUP(1, (Лист2!$A$2:$A$505=A165)*(Лист2!$B$2:$B$505=B165), Лист2!$D$2:$D$505)</f>
        <v>5094</v>
      </c>
      <c r="G165" s="7" cm="1">
        <f t="array" ref="G165">_xlfn.XLOOKUP(1, (Лист2!$A$2:$A$505=A165)*(Лист2!$B$2:$B$505=B165), Лист2!$E$2:$E$505)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5">
      <c r="A166" s="5">
        <v>43968</v>
      </c>
      <c r="B166" s="6" t="s">
        <v>16</v>
      </c>
      <c r="C166" s="6">
        <v>72861</v>
      </c>
      <c r="D166" s="6">
        <v>5952802.5</v>
      </c>
      <c r="E166" s="7" cm="1">
        <f t="array" ref="E166">_xlfn.XLOOKUP(1,(Лист2!$A$2:$A$505=A166)*(Лист2!$B$2:$B$505=B166),(Лист2!$C$2:$C$505))</f>
        <v>36</v>
      </c>
      <c r="F166" s="7" cm="1">
        <f t="array" ref="F166">_xlfn.XLOOKUP(1, (Лист2!$A$2:$A$505=A166)*(Лист2!$B$2:$B$505=B166), Лист2!$D$2:$D$505)</f>
        <v>4918</v>
      </c>
      <c r="G166" s="7" cm="1">
        <f t="array" ref="G166">_xlfn.XLOOKUP(1, (Лист2!$A$2:$A$505=A166)*(Лист2!$B$2:$B$505=B166), Лист2!$E$2:$E$505)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35">
      <c r="A167" s="8">
        <v>43960</v>
      </c>
      <c r="B167" s="9" t="s">
        <v>16</v>
      </c>
      <c r="C167" s="9">
        <v>83373</v>
      </c>
      <c r="D167" s="9">
        <v>7253427</v>
      </c>
      <c r="E167" s="7" cm="1">
        <f t="array" ref="E167">_xlfn.XLOOKUP(1,(Лист2!$A$2:$A$505=A167)*(Лист2!$B$2:$B$505=B167),(Лист2!$C$2:$C$505))</f>
        <v>36</v>
      </c>
      <c r="F167" s="7" cm="1">
        <f t="array" ref="F167">_xlfn.XLOOKUP(1, (Лист2!$A$2:$A$505=A167)*(Лист2!$B$2:$B$505=B167), Лист2!$D$2:$D$505)</f>
        <v>5413</v>
      </c>
      <c r="G167" s="7" cm="1">
        <f t="array" ref="G167">_xlfn.XLOOKUP(1, (Лист2!$A$2:$A$505=A167)*(Лист2!$B$2:$B$505=B167), Лист2!$E$2:$E$505)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5">
      <c r="A168" s="5">
        <v>43955</v>
      </c>
      <c r="B168" s="6" t="s">
        <v>16</v>
      </c>
      <c r="C168" s="6">
        <v>64108.5</v>
      </c>
      <c r="D168" s="6">
        <v>5561452.5</v>
      </c>
      <c r="E168" s="7" cm="1">
        <f t="array" ref="E168">_xlfn.XLOOKUP(1,(Лист2!$A$2:$A$505=A168)*(Лист2!$B$2:$B$505=B168),(Лист2!$C$2:$C$505))</f>
        <v>36</v>
      </c>
      <c r="F168" s="7" cm="1">
        <f t="array" ref="F168">_xlfn.XLOOKUP(1, (Лист2!$A$2:$A$505=A168)*(Лист2!$B$2:$B$505=B168), Лист2!$D$2:$D$505)</f>
        <v>4508</v>
      </c>
      <c r="G168" s="7" cm="1">
        <f t="array" ref="G168">_xlfn.XLOOKUP(1, (Лист2!$A$2:$A$505=A168)*(Лист2!$B$2:$B$505=B168), Лист2!$E$2:$E$505)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5">
      <c r="A169" s="8">
        <v>43950</v>
      </c>
      <c r="B169" s="9" t="s">
        <v>16</v>
      </c>
      <c r="C169" s="9">
        <v>74707.5</v>
      </c>
      <c r="D169" s="9">
        <v>6454458</v>
      </c>
      <c r="E169" s="7" cm="1">
        <f t="array" ref="E169">_xlfn.XLOOKUP(1,(Лист2!$A$2:$A$505=A169)*(Лист2!$B$2:$B$505=B169),(Лист2!$C$2:$C$505))</f>
        <v>36</v>
      </c>
      <c r="F169" s="7" cm="1">
        <f t="array" ref="F169">_xlfn.XLOOKUP(1, (Лист2!$A$2:$A$505=A169)*(Лист2!$B$2:$B$505=B169), Лист2!$D$2:$D$505)</f>
        <v>4937</v>
      </c>
      <c r="G169" s="7" cm="1">
        <f t="array" ref="G169">_xlfn.XLOOKUP(1, (Лист2!$A$2:$A$505=A169)*(Лист2!$B$2:$B$505=B169), Лист2!$E$2:$E$505)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5">
      <c r="A170" s="5">
        <v>43953</v>
      </c>
      <c r="B170" s="6" t="s">
        <v>16</v>
      </c>
      <c r="C170" s="6">
        <v>46216.5</v>
      </c>
      <c r="D170" s="6">
        <v>4118251.5</v>
      </c>
      <c r="E170" s="7" cm="1">
        <f t="array" ref="E170">_xlfn.XLOOKUP(1,(Лист2!$A$2:$A$505=A170)*(Лист2!$B$2:$B$505=B170),(Лист2!$C$2:$C$505))</f>
        <v>36</v>
      </c>
      <c r="F170" s="7" cm="1">
        <f t="array" ref="F170">_xlfn.XLOOKUP(1, (Лист2!$A$2:$A$505=A170)*(Лист2!$B$2:$B$505=B170), Лист2!$D$2:$D$505)</f>
        <v>3442</v>
      </c>
      <c r="G170" s="7" cm="1">
        <f t="array" ref="G170">_xlfn.XLOOKUP(1, (Лист2!$A$2:$A$505=A170)*(Лист2!$B$2:$B$505=B170), Лист2!$E$2:$E$505)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5">
      <c r="A171" s="8">
        <v>43977</v>
      </c>
      <c r="B171" s="9" t="s">
        <v>16</v>
      </c>
      <c r="C171" s="9">
        <v>67726.5</v>
      </c>
      <c r="D171" s="9">
        <v>5864989.5</v>
      </c>
      <c r="E171" s="7" cm="1">
        <f t="array" ref="E171">_xlfn.XLOOKUP(1,(Лист2!$A$2:$A$505=A171)*(Лист2!$B$2:$B$505=B171),(Лист2!$C$2:$C$505))</f>
        <v>36</v>
      </c>
      <c r="F171" s="7" cm="1">
        <f t="array" ref="F171">_xlfn.XLOOKUP(1, (Лист2!$A$2:$A$505=A171)*(Лист2!$B$2:$B$505=B171), Лист2!$D$2:$D$505)</f>
        <v>4770</v>
      </c>
      <c r="G171" s="7" cm="1">
        <f t="array" ref="G171">_xlfn.XLOOKUP(1, (Лист2!$A$2:$A$505=A171)*(Лист2!$B$2:$B$505=B171), Лист2!$E$2:$E$505)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5">
      <c r="A172" s="5">
        <v>43952</v>
      </c>
      <c r="B172" s="6" t="s">
        <v>16</v>
      </c>
      <c r="C172" s="6">
        <v>82228.5</v>
      </c>
      <c r="D172" s="6">
        <v>7032225</v>
      </c>
      <c r="E172" s="7" cm="1">
        <f t="array" ref="E172">_xlfn.XLOOKUP(1,(Лист2!$A$2:$A$505=A172)*(Лист2!$B$2:$B$505=B172),(Лист2!$C$2:$C$505))</f>
        <v>36</v>
      </c>
      <c r="F172" s="7" cm="1">
        <f t="array" ref="F172">_xlfn.XLOOKUP(1, (Лист2!$A$2:$A$505=A172)*(Лист2!$B$2:$B$505=B172), Лист2!$D$2:$D$505)</f>
        <v>5457</v>
      </c>
      <c r="G172" s="7" cm="1">
        <f t="array" ref="G172">_xlfn.XLOOKUP(1, (Лист2!$A$2:$A$505=A172)*(Лист2!$B$2:$B$505=B172), Лист2!$E$2:$E$505)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5">
      <c r="A173" s="8">
        <v>43963</v>
      </c>
      <c r="B173" s="9" t="s">
        <v>16</v>
      </c>
      <c r="C173" s="9">
        <v>64390.5</v>
      </c>
      <c r="D173" s="9">
        <v>5523145.5</v>
      </c>
      <c r="E173" s="7" cm="1">
        <f t="array" ref="E173">_xlfn.XLOOKUP(1,(Лист2!$A$2:$A$505=A173)*(Лист2!$B$2:$B$505=B173),(Лист2!$C$2:$C$505))</f>
        <v>36</v>
      </c>
      <c r="F173" s="7" cm="1">
        <f t="array" ref="F173">_xlfn.XLOOKUP(1, (Лист2!$A$2:$A$505=A173)*(Лист2!$B$2:$B$505=B173), Лист2!$D$2:$D$505)</f>
        <v>4418</v>
      </c>
      <c r="G173" s="7" cm="1">
        <f t="array" ref="G173">_xlfn.XLOOKUP(1, (Лист2!$A$2:$A$505=A173)*(Лист2!$B$2:$B$505=B173), Лист2!$E$2:$E$505)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5">
      <c r="A174" s="5">
        <v>43972</v>
      </c>
      <c r="B174" s="6" t="s">
        <v>16</v>
      </c>
      <c r="C174" s="6">
        <v>73126.5</v>
      </c>
      <c r="D174" s="6">
        <v>5864085</v>
      </c>
      <c r="E174" s="7" cm="1">
        <f t="array" ref="E174">_xlfn.XLOOKUP(1,(Лист2!$A$2:$A$505=A174)*(Лист2!$B$2:$B$505=B174),(Лист2!$C$2:$C$505))</f>
        <v>36</v>
      </c>
      <c r="F174" s="7" cm="1">
        <f t="array" ref="F174">_xlfn.XLOOKUP(1, (Лист2!$A$2:$A$505=A174)*(Лист2!$B$2:$B$505=B174), Лист2!$D$2:$D$505)</f>
        <v>4816</v>
      </c>
      <c r="G174" s="7" cm="1">
        <f t="array" ref="G174">_xlfn.XLOOKUP(1, (Лист2!$A$2:$A$505=A174)*(Лист2!$B$2:$B$505=B174), Лист2!$E$2:$E$505)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5">
      <c r="A175" s="8">
        <v>43971</v>
      </c>
      <c r="B175" s="9" t="s">
        <v>16</v>
      </c>
      <c r="C175" s="9">
        <v>99631.5</v>
      </c>
      <c r="D175" s="9">
        <v>7121946</v>
      </c>
      <c r="E175" s="7" cm="1">
        <f t="array" ref="E175">_xlfn.XLOOKUP(1,(Лист2!$A$2:$A$505=A175)*(Лист2!$B$2:$B$505=B175),(Лист2!$C$2:$C$505))</f>
        <v>36</v>
      </c>
      <c r="F175" s="7" cm="1">
        <f t="array" ref="F175">_xlfn.XLOOKUP(1, (Лист2!$A$2:$A$505=A175)*(Лист2!$B$2:$B$505=B175), Лист2!$D$2:$D$505)</f>
        <v>5914</v>
      </c>
      <c r="G175" s="7" cm="1">
        <f t="array" ref="G175">_xlfn.XLOOKUP(1, (Лист2!$A$2:$A$505=A175)*(Лист2!$B$2:$B$505=B175), Лист2!$E$2:$E$505)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5">
      <c r="A176" s="5">
        <v>43956</v>
      </c>
      <c r="B176" s="6" t="s">
        <v>16</v>
      </c>
      <c r="C176" s="6">
        <v>66396</v>
      </c>
      <c r="D176" s="6">
        <v>5770539</v>
      </c>
      <c r="E176" s="7" cm="1">
        <f t="array" ref="E176">_xlfn.XLOOKUP(1,(Лист2!$A$2:$A$505=A176)*(Лист2!$B$2:$B$505=B176),(Лист2!$C$2:$C$505))</f>
        <v>36</v>
      </c>
      <c r="F176" s="7" cm="1">
        <f t="array" ref="F176">_xlfn.XLOOKUP(1, (Лист2!$A$2:$A$505=A176)*(Лист2!$B$2:$B$505=B176), Лист2!$D$2:$D$505)</f>
        <v>4575</v>
      </c>
      <c r="G176" s="7" cm="1">
        <f t="array" ref="G176">_xlfn.XLOOKUP(1, (Лист2!$A$2:$A$505=A176)*(Лист2!$B$2:$B$505=B176), Лист2!$E$2:$E$505)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5">
      <c r="A177" s="8">
        <v>43949</v>
      </c>
      <c r="B177" s="9" t="s">
        <v>16</v>
      </c>
      <c r="C177" s="9">
        <v>73147.5</v>
      </c>
      <c r="D177" s="9">
        <v>6288246</v>
      </c>
      <c r="E177" s="7" cm="1">
        <f t="array" ref="E177">_xlfn.XLOOKUP(1,(Лист2!$A$2:$A$505=A177)*(Лист2!$B$2:$B$505=B177),(Лист2!$C$2:$C$505))</f>
        <v>36</v>
      </c>
      <c r="F177" s="7" cm="1">
        <f t="array" ref="F177">_xlfn.XLOOKUP(1, (Лист2!$A$2:$A$505=A177)*(Лист2!$B$2:$B$505=B177), Лист2!$D$2:$D$505)</f>
        <v>4923</v>
      </c>
      <c r="G177" s="7" cm="1">
        <f t="array" ref="G177">_xlfn.XLOOKUP(1, (Лист2!$A$2:$A$505=A177)*(Лист2!$B$2:$B$505=B177), Лист2!$E$2:$E$505)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5">
      <c r="A178" s="5">
        <v>43964</v>
      </c>
      <c r="B178" s="6" t="s">
        <v>16</v>
      </c>
      <c r="C178" s="6">
        <v>73062</v>
      </c>
      <c r="D178" s="6">
        <v>6333828</v>
      </c>
      <c r="E178" s="7" cm="1">
        <f t="array" ref="E178">_xlfn.XLOOKUP(1,(Лист2!$A$2:$A$505=A178)*(Лист2!$B$2:$B$505=B178),(Лист2!$C$2:$C$505))</f>
        <v>36</v>
      </c>
      <c r="F178" s="7" cm="1">
        <f t="array" ref="F178">_xlfn.XLOOKUP(1, (Лист2!$A$2:$A$505=A178)*(Лист2!$B$2:$B$505=B178), Лист2!$D$2:$D$505)</f>
        <v>4967</v>
      </c>
      <c r="G178" s="7" cm="1">
        <f t="array" ref="G178">_xlfn.XLOOKUP(1, (Лист2!$A$2:$A$505=A178)*(Лист2!$B$2:$B$505=B178), Лист2!$E$2:$E$505)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5">
      <c r="A179" s="8">
        <v>43982</v>
      </c>
      <c r="B179" s="9" t="s">
        <v>15</v>
      </c>
      <c r="C179" s="9">
        <v>379663.5</v>
      </c>
      <c r="D179" s="9">
        <v>39380178</v>
      </c>
      <c r="E179" s="7" cm="1">
        <f t="array" ref="E179">_xlfn.XLOOKUP(1,(Лист2!$A$2:$A$505=A179)*(Лист2!$B$2:$B$505=B179),(Лист2!$C$2:$C$505))</f>
        <v>124</v>
      </c>
      <c r="F179" s="7" cm="1">
        <f t="array" ref="F179">_xlfn.XLOOKUP(1, (Лист2!$A$2:$A$505=A179)*(Лист2!$B$2:$B$505=B179), Лист2!$D$2:$D$505)</f>
        <v>21392</v>
      </c>
      <c r="G179" s="7" cm="1">
        <f t="array" ref="G179">_xlfn.XLOOKUP(1, (Лист2!$A$2:$A$505=A179)*(Лист2!$B$2:$B$505=B179), Лист2!$E$2:$E$505)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35">
      <c r="A180" s="5">
        <v>43954</v>
      </c>
      <c r="B180" s="6" t="s">
        <v>16</v>
      </c>
      <c r="C180" s="6">
        <v>70581</v>
      </c>
      <c r="D180" s="6">
        <v>6221320.5</v>
      </c>
      <c r="E180" s="7" cm="1">
        <f t="array" ref="E180">_xlfn.XLOOKUP(1,(Лист2!$A$2:$A$505=A180)*(Лист2!$B$2:$B$505=B180),(Лист2!$C$2:$C$505))</f>
        <v>36</v>
      </c>
      <c r="F180" s="7" cm="1">
        <f t="array" ref="F180">_xlfn.XLOOKUP(1, (Лист2!$A$2:$A$505=A180)*(Лист2!$B$2:$B$505=B180), Лист2!$D$2:$D$505)</f>
        <v>4751</v>
      </c>
      <c r="G180" s="7" cm="1">
        <f t="array" ref="G180">_xlfn.XLOOKUP(1, (Лист2!$A$2:$A$505=A180)*(Лист2!$B$2:$B$505=B180), Лист2!$E$2:$E$505)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35">
      <c r="A181" s="8">
        <v>43981</v>
      </c>
      <c r="B181" s="9" t="s">
        <v>15</v>
      </c>
      <c r="C181" s="9">
        <v>453123</v>
      </c>
      <c r="D181" s="9">
        <v>46370904</v>
      </c>
      <c r="E181" s="7" cm="1">
        <f t="array" ref="E181">_xlfn.XLOOKUP(1,(Лист2!$A$2:$A$505=A181)*(Лист2!$B$2:$B$505=B181),(Лист2!$C$2:$C$505))</f>
        <v>124</v>
      </c>
      <c r="F181" s="7" cm="1">
        <f t="array" ref="F181">_xlfn.XLOOKUP(1, (Лист2!$A$2:$A$505=A181)*(Лист2!$B$2:$B$505=B181), Лист2!$D$2:$D$505)</f>
        <v>24325</v>
      </c>
      <c r="G181" s="7" cm="1">
        <f t="array" ref="G181">_xlfn.XLOOKUP(1, (Лист2!$A$2:$A$505=A181)*(Лист2!$B$2:$B$505=B181), Лист2!$E$2:$E$505)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5">
      <c r="A182" s="5">
        <v>43957</v>
      </c>
      <c r="B182" s="6" t="s">
        <v>16</v>
      </c>
      <c r="C182" s="6">
        <v>63012</v>
      </c>
      <c r="D182" s="6">
        <v>5454121.5</v>
      </c>
      <c r="E182" s="7" cm="1">
        <f t="array" ref="E182">_xlfn.XLOOKUP(1,(Лист2!$A$2:$A$505=A182)*(Лист2!$B$2:$B$505=B182),(Лист2!$C$2:$C$505))</f>
        <v>36</v>
      </c>
      <c r="F182" s="7" cm="1">
        <f t="array" ref="F182">_xlfn.XLOOKUP(1, (Лист2!$A$2:$A$505=A182)*(Лист2!$B$2:$B$505=B182), Лист2!$D$2:$D$505)</f>
        <v>4384</v>
      </c>
      <c r="G182" s="7" cm="1">
        <f t="array" ref="G182">_xlfn.XLOOKUP(1, (Лист2!$A$2:$A$505=A182)*(Лист2!$B$2:$B$505=B182), Лист2!$E$2:$E$505)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5">
      <c r="A183" s="8">
        <v>43974</v>
      </c>
      <c r="B183" s="9" t="s">
        <v>16</v>
      </c>
      <c r="C183" s="9">
        <v>89556</v>
      </c>
      <c r="D183" s="9">
        <v>7173117</v>
      </c>
      <c r="E183" s="7" cm="1">
        <f t="array" ref="E183">_xlfn.XLOOKUP(1,(Лист2!$A$2:$A$505=A183)*(Лист2!$B$2:$B$505=B183),(Лист2!$C$2:$C$505))</f>
        <v>36</v>
      </c>
      <c r="F183" s="7" cm="1">
        <f t="array" ref="F183">_xlfn.XLOOKUP(1, (Лист2!$A$2:$A$505=A183)*(Лист2!$B$2:$B$505=B183), Лист2!$D$2:$D$505)</f>
        <v>5651</v>
      </c>
      <c r="G183" s="7" cm="1">
        <f t="array" ref="G183">_xlfn.XLOOKUP(1, (Лист2!$A$2:$A$505=A183)*(Лист2!$B$2:$B$505=B183), Лист2!$E$2:$E$505)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5">
      <c r="A184" s="5">
        <v>43979</v>
      </c>
      <c r="B184" s="6" t="s">
        <v>15</v>
      </c>
      <c r="C184" s="6">
        <v>364638</v>
      </c>
      <c r="D184" s="6">
        <v>37947688.5</v>
      </c>
      <c r="E184" s="7" cm="1">
        <f t="array" ref="E184">_xlfn.XLOOKUP(1,(Лист2!$A$2:$A$505=A184)*(Лист2!$B$2:$B$505=B184),(Лист2!$C$2:$C$505))</f>
        <v>124</v>
      </c>
      <c r="F184" s="7" cm="1">
        <f t="array" ref="F184">_xlfn.XLOOKUP(1, (Лист2!$A$2:$A$505=A184)*(Лист2!$B$2:$B$505=B184), Лист2!$D$2:$D$505)</f>
        <v>20868</v>
      </c>
      <c r="G184" s="7" cm="1">
        <f t="array" ref="G184">_xlfn.XLOOKUP(1, (Лист2!$A$2:$A$505=A184)*(Лист2!$B$2:$B$505=B184), Лист2!$E$2:$E$505)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5">
      <c r="A185" s="8">
        <v>43976</v>
      </c>
      <c r="B185" s="9" t="s">
        <v>16</v>
      </c>
      <c r="C185" s="9">
        <v>66316.5</v>
      </c>
      <c r="D185" s="9">
        <v>5704650</v>
      </c>
      <c r="E185" s="7" cm="1">
        <f t="array" ref="E185">_xlfn.XLOOKUP(1,(Лист2!$A$2:$A$505=A185)*(Лист2!$B$2:$B$505=B185),(Лист2!$C$2:$C$505))</f>
        <v>36</v>
      </c>
      <c r="F185" s="7" cm="1">
        <f t="array" ref="F185">_xlfn.XLOOKUP(1, (Лист2!$A$2:$A$505=A185)*(Лист2!$B$2:$B$505=B185), Лист2!$D$2:$D$505)</f>
        <v>4641</v>
      </c>
      <c r="G185" s="7" cm="1">
        <f t="array" ref="G185">_xlfn.XLOOKUP(1, (Лист2!$A$2:$A$505=A185)*(Лист2!$B$2:$B$505=B185), Лист2!$E$2:$E$505)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5">
      <c r="A186" s="5">
        <v>43951</v>
      </c>
      <c r="B186" s="6" t="s">
        <v>16</v>
      </c>
      <c r="C186" s="6">
        <v>78235.5</v>
      </c>
      <c r="D186" s="6">
        <v>6819594</v>
      </c>
      <c r="E186" s="7" cm="1">
        <f t="array" ref="E186">_xlfn.XLOOKUP(1,(Лист2!$A$2:$A$505=A186)*(Лист2!$B$2:$B$505=B186),(Лист2!$C$2:$C$505))</f>
        <v>36</v>
      </c>
      <c r="F186" s="7" cm="1">
        <f t="array" ref="F186">_xlfn.XLOOKUP(1, (Лист2!$A$2:$A$505=A186)*(Лист2!$B$2:$B$505=B186), Лист2!$D$2:$D$505)</f>
        <v>5143</v>
      </c>
      <c r="G186" s="7" cm="1">
        <f t="array" ref="G186">_xlfn.XLOOKUP(1, (Лист2!$A$2:$A$505=A186)*(Лист2!$B$2:$B$505=B186), Лист2!$E$2:$E$505)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5">
      <c r="A187" s="8">
        <v>43961</v>
      </c>
      <c r="B187" s="9" t="s">
        <v>16</v>
      </c>
      <c r="C187" s="9">
        <v>88311</v>
      </c>
      <c r="D187" s="9">
        <v>7726069.5</v>
      </c>
      <c r="E187" s="7" cm="1">
        <f t="array" ref="E187">_xlfn.XLOOKUP(1,(Лист2!$A$2:$A$505=A187)*(Лист2!$B$2:$B$505=B187),(Лист2!$C$2:$C$505))</f>
        <v>36</v>
      </c>
      <c r="F187" s="7" cm="1">
        <f t="array" ref="F187">_xlfn.XLOOKUP(1, (Лист2!$A$2:$A$505=A187)*(Лист2!$B$2:$B$505=B187), Лист2!$D$2:$D$505)</f>
        <v>5746</v>
      </c>
      <c r="G187" s="7" cm="1">
        <f t="array" ref="G187">_xlfn.XLOOKUP(1, (Лист2!$A$2:$A$505=A187)*(Лист2!$B$2:$B$505=B187), Лист2!$E$2:$E$505)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35">
      <c r="A188" s="5">
        <v>43959</v>
      </c>
      <c r="B188" s="6" t="s">
        <v>16</v>
      </c>
      <c r="C188" s="6">
        <v>61804.5</v>
      </c>
      <c r="D188" s="6">
        <v>5365708.5</v>
      </c>
      <c r="E188" s="7" cm="1">
        <f t="array" ref="E188">_xlfn.XLOOKUP(1,(Лист2!$A$2:$A$505=A188)*(Лист2!$B$2:$B$505=B188),(Лист2!$C$2:$C$505))</f>
        <v>36</v>
      </c>
      <c r="F188" s="7" cm="1">
        <f t="array" ref="F188">_xlfn.XLOOKUP(1, (Лист2!$A$2:$A$505=A188)*(Лист2!$B$2:$B$505=B188), Лист2!$D$2:$D$505)</f>
        <v>4199</v>
      </c>
      <c r="G188" s="7" cm="1">
        <f t="array" ref="G188">_xlfn.XLOOKUP(1, (Лист2!$A$2:$A$505=A188)*(Лист2!$B$2:$B$505=B188), Лист2!$E$2:$E$505)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5">
      <c r="A189" s="8">
        <v>43958</v>
      </c>
      <c r="B189" s="9" t="s">
        <v>16</v>
      </c>
      <c r="C189" s="9">
        <v>71067</v>
      </c>
      <c r="D189" s="9">
        <v>6175837.5</v>
      </c>
      <c r="E189" s="7" cm="1">
        <f t="array" ref="E189">_xlfn.XLOOKUP(1,(Лист2!$A$2:$A$505=A189)*(Лист2!$B$2:$B$505=B189),(Лист2!$C$2:$C$505))</f>
        <v>36</v>
      </c>
      <c r="F189" s="7" cm="1">
        <f t="array" ref="F189">_xlfn.XLOOKUP(1, (Лист2!$A$2:$A$505=A189)*(Лист2!$B$2:$B$505=B189), Лист2!$D$2:$D$505)</f>
        <v>4826</v>
      </c>
      <c r="G189" s="7" cm="1">
        <f t="array" ref="G189">_xlfn.XLOOKUP(1, (Лист2!$A$2:$A$505=A189)*(Лист2!$B$2:$B$505=B189), Лист2!$E$2:$E$505)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5">
      <c r="A190" s="5">
        <v>43975</v>
      </c>
      <c r="B190" s="6" t="s">
        <v>16</v>
      </c>
      <c r="C190" s="6">
        <v>74649</v>
      </c>
      <c r="D190" s="6">
        <v>6098236.5</v>
      </c>
      <c r="E190" s="7" cm="1">
        <f t="array" ref="E190">_xlfn.XLOOKUP(1,(Лист2!$A$2:$A$505=A190)*(Лист2!$B$2:$B$505=B190),(Лист2!$C$2:$C$505))</f>
        <v>36</v>
      </c>
      <c r="F190" s="7" cm="1">
        <f t="array" ref="F190">_xlfn.XLOOKUP(1, (Лист2!$A$2:$A$505=A190)*(Лист2!$B$2:$B$505=B190), Лист2!$D$2:$D$505)</f>
        <v>4915</v>
      </c>
      <c r="G190" s="7" cm="1">
        <f t="array" ref="G190">_xlfn.XLOOKUP(1, (Лист2!$A$2:$A$505=A190)*(Лист2!$B$2:$B$505=B190), Лист2!$E$2:$E$505)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35">
      <c r="A191" s="8">
        <v>43967</v>
      </c>
      <c r="B191" s="9" t="s">
        <v>17</v>
      </c>
      <c r="C191" s="9">
        <v>44560.5</v>
      </c>
      <c r="D191" s="9">
        <v>4025148</v>
      </c>
      <c r="E191" s="7" cm="1">
        <f t="array" ref="E191">_xlfn.XLOOKUP(1,(Лист2!$A$2:$A$505=A191)*(Лист2!$B$2:$B$505=B191),(Лист2!$C$2:$C$505))</f>
        <v>21</v>
      </c>
      <c r="F191" s="7" cm="1">
        <f t="array" ref="F191">_xlfn.XLOOKUP(1, (Лист2!$A$2:$A$505=A191)*(Лист2!$B$2:$B$505=B191), Лист2!$D$2:$D$505)</f>
        <v>2427</v>
      </c>
      <c r="G191" s="7" cm="1">
        <f t="array" ref="G191">_xlfn.XLOOKUP(1, (Лист2!$A$2:$A$505=A191)*(Лист2!$B$2:$B$505=B191), Лист2!$E$2:$E$505)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5">
      <c r="A192" s="5">
        <v>43970</v>
      </c>
      <c r="B192" s="6" t="s">
        <v>17</v>
      </c>
      <c r="C192" s="6">
        <v>38250</v>
      </c>
      <c r="D192" s="6">
        <v>3552937.5</v>
      </c>
      <c r="E192" s="7" cm="1">
        <f t="array" ref="E192">_xlfn.XLOOKUP(1,(Лист2!$A$2:$A$505=A192)*(Лист2!$B$2:$B$505=B192),(Лист2!$C$2:$C$505))</f>
        <v>21</v>
      </c>
      <c r="F192" s="7" cm="1">
        <f t="array" ref="F192">_xlfn.XLOOKUP(1, (Лист2!$A$2:$A$505=A192)*(Лист2!$B$2:$B$505=B192), Лист2!$D$2:$D$505)</f>
        <v>2245</v>
      </c>
      <c r="G192" s="7" cm="1">
        <f t="array" ref="G192">_xlfn.XLOOKUP(1, (Лист2!$A$2:$A$505=A192)*(Лист2!$B$2:$B$505=B192), Лист2!$E$2:$E$505)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5">
      <c r="A193" s="8">
        <v>43968</v>
      </c>
      <c r="B193" s="9" t="s">
        <v>17</v>
      </c>
      <c r="C193" s="9">
        <v>34830</v>
      </c>
      <c r="D193" s="9">
        <v>3191155.5</v>
      </c>
      <c r="E193" s="7" cm="1">
        <f t="array" ref="E193">_xlfn.XLOOKUP(1,(Лист2!$A$2:$A$505=A193)*(Лист2!$B$2:$B$505=B193),(Лист2!$C$2:$C$505))</f>
        <v>21</v>
      </c>
      <c r="F193" s="7" cm="1">
        <f t="array" ref="F193">_xlfn.XLOOKUP(1, (Лист2!$A$2:$A$505=A193)*(Лист2!$B$2:$B$505=B193), Лист2!$D$2:$D$505)</f>
        <v>2054</v>
      </c>
      <c r="G193" s="7" cm="1">
        <f t="array" ref="G193">_xlfn.XLOOKUP(1, (Лист2!$A$2:$A$505=A193)*(Лист2!$B$2:$B$505=B193), Лист2!$E$2:$E$505)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35">
      <c r="A194" s="5">
        <v>43960</v>
      </c>
      <c r="B194" s="6" t="s">
        <v>17</v>
      </c>
      <c r="C194" s="6">
        <v>32239.5</v>
      </c>
      <c r="D194" s="6">
        <v>3084892.5</v>
      </c>
      <c r="E194" s="7" cm="1">
        <f t="array" ref="E194">_xlfn.XLOOKUP(1,(Лист2!$A$2:$A$505=A194)*(Лист2!$B$2:$B$505=B194),(Лист2!$C$2:$C$505))</f>
        <v>21</v>
      </c>
      <c r="F194" s="7" cm="1">
        <f t="array" ref="F194">_xlfn.XLOOKUP(1, (Лист2!$A$2:$A$505=A194)*(Лист2!$B$2:$B$505=B194), Лист2!$D$2:$D$505)</f>
        <v>1891</v>
      </c>
      <c r="G194" s="7" cm="1">
        <f t="array" ref="G194">_xlfn.XLOOKUP(1, (Лист2!$A$2:$A$505=A194)*(Лист2!$B$2:$B$505=B194), Лист2!$E$2:$E$505)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35">
      <c r="A195" s="8">
        <v>43955</v>
      </c>
      <c r="B195" s="9" t="s">
        <v>17</v>
      </c>
      <c r="C195" s="9">
        <v>30780</v>
      </c>
      <c r="D195" s="9">
        <v>2817853.5</v>
      </c>
      <c r="E195" s="7" cm="1">
        <f t="array" ref="E195">_xlfn.XLOOKUP(1,(Лист2!$A$2:$A$505=A195)*(Лист2!$B$2:$B$505=B195),(Лист2!$C$2:$C$505))</f>
        <v>20</v>
      </c>
      <c r="F195" s="7" cm="1">
        <f t="array" ref="F195">_xlfn.XLOOKUP(1, (Лист2!$A$2:$A$505=A195)*(Лист2!$B$2:$B$505=B195), Лист2!$D$2:$D$505)</f>
        <v>1804</v>
      </c>
      <c r="G195" s="7" cm="1">
        <f t="array" ref="G195">_xlfn.XLOOKUP(1, (Лист2!$A$2:$A$505=A195)*(Лист2!$B$2:$B$505=B195), Лист2!$E$2:$E$505)</f>
        <v>1638</v>
      </c>
      <c r="H195">
        <f t="shared" ref="H195:H258" si="6">D195/E195</f>
        <v>140892.67499999999</v>
      </c>
      <c r="I195">
        <f t="shared" ref="I195:I258" si="7">_xlfn.ISOWEEKNUM(A195)</f>
        <v>19</v>
      </c>
    </row>
    <row r="196" spans="1:9" ht="14.25" customHeight="1" x14ac:dyDescent="0.35">
      <c r="A196" s="5">
        <v>43950</v>
      </c>
      <c r="B196" s="6" t="s">
        <v>17</v>
      </c>
      <c r="C196" s="6">
        <v>29142</v>
      </c>
      <c r="D196" s="6">
        <v>2627595</v>
      </c>
      <c r="E196" s="7" cm="1">
        <f t="array" ref="E196">_xlfn.XLOOKUP(1,(Лист2!$A$2:$A$505=A196)*(Лист2!$B$2:$B$505=B196),(Лист2!$C$2:$C$505))</f>
        <v>19</v>
      </c>
      <c r="F196" s="7" cm="1">
        <f t="array" ref="F196">_xlfn.XLOOKUP(1, (Лист2!$A$2:$A$505=A196)*(Лист2!$B$2:$B$505=B196), Лист2!$D$2:$D$505)</f>
        <v>1676</v>
      </c>
      <c r="G196" s="7" cm="1">
        <f t="array" ref="G196">_xlfn.XLOOKUP(1, (Лист2!$A$2:$A$505=A196)*(Лист2!$B$2:$B$505=B196), Лист2!$E$2:$E$505)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5">
      <c r="A197" s="8">
        <v>43953</v>
      </c>
      <c r="B197" s="9" t="s">
        <v>17</v>
      </c>
      <c r="C197" s="9">
        <v>26428.5</v>
      </c>
      <c r="D197" s="9">
        <v>2470465.5</v>
      </c>
      <c r="E197" s="7" cm="1">
        <f t="array" ref="E197">_xlfn.XLOOKUP(1,(Лист2!$A$2:$A$505=A197)*(Лист2!$B$2:$B$505=B197),(Лист2!$C$2:$C$505))</f>
        <v>20</v>
      </c>
      <c r="F197" s="7" cm="1">
        <f t="array" ref="F197">_xlfn.XLOOKUP(1, (Лист2!$A$2:$A$505=A197)*(Лист2!$B$2:$B$505=B197), Лист2!$D$2:$D$505)</f>
        <v>1613</v>
      </c>
      <c r="G197" s="7" cm="1">
        <f t="array" ref="G197">_xlfn.XLOOKUP(1, (Лист2!$A$2:$A$505=A197)*(Лист2!$B$2:$B$505=B197), Лист2!$E$2:$E$505)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5">
      <c r="A198" s="5">
        <v>43977</v>
      </c>
      <c r="B198" s="6" t="s">
        <v>17</v>
      </c>
      <c r="C198" s="6">
        <v>40744.5</v>
      </c>
      <c r="D198" s="6">
        <v>3700311</v>
      </c>
      <c r="E198" s="7" cm="1">
        <f t="array" ref="E198">_xlfn.XLOOKUP(1,(Лист2!$A$2:$A$505=A198)*(Лист2!$B$2:$B$505=B198),(Лист2!$C$2:$C$505))</f>
        <v>21</v>
      </c>
      <c r="F198" s="7" cm="1">
        <f t="array" ref="F198">_xlfn.XLOOKUP(1, (Лист2!$A$2:$A$505=A198)*(Лист2!$B$2:$B$505=B198), Лист2!$D$2:$D$505)</f>
        <v>2418</v>
      </c>
      <c r="G198" s="7" cm="1">
        <f t="array" ref="G198">_xlfn.XLOOKUP(1, (Лист2!$A$2:$A$505=A198)*(Лист2!$B$2:$B$505=B198), Лист2!$E$2:$E$505)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5">
      <c r="A199" s="8">
        <v>43952</v>
      </c>
      <c r="B199" s="9" t="s">
        <v>17</v>
      </c>
      <c r="C199" s="9">
        <v>46620</v>
      </c>
      <c r="D199" s="9">
        <v>4293241.5</v>
      </c>
      <c r="E199" s="7" cm="1">
        <f t="array" ref="E199">_xlfn.XLOOKUP(1,(Лист2!$A$2:$A$505=A199)*(Лист2!$B$2:$B$505=B199),(Лист2!$C$2:$C$505))</f>
        <v>20</v>
      </c>
      <c r="F199" s="7" cm="1">
        <f t="array" ref="F199">_xlfn.XLOOKUP(1, (Лист2!$A$2:$A$505=A199)*(Лист2!$B$2:$B$505=B199), Лист2!$D$2:$D$505)</f>
        <v>2468</v>
      </c>
      <c r="G199" s="7" cm="1">
        <f t="array" ref="G199">_xlfn.XLOOKUP(1, (Лист2!$A$2:$A$505=A199)*(Лист2!$B$2:$B$505=B199), Лист2!$E$2:$E$505)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5">
      <c r="A200" s="5">
        <v>43963</v>
      </c>
      <c r="B200" s="6" t="s">
        <v>17</v>
      </c>
      <c r="C200" s="6">
        <v>32419.5</v>
      </c>
      <c r="D200" s="6">
        <v>3080614.5</v>
      </c>
      <c r="E200" s="7" cm="1">
        <f t="array" ref="E200">_xlfn.XLOOKUP(1,(Лист2!$A$2:$A$505=A200)*(Лист2!$B$2:$B$505=B200),(Лист2!$C$2:$C$505))</f>
        <v>21</v>
      </c>
      <c r="F200" s="7" cm="1">
        <f t="array" ref="F200">_xlfn.XLOOKUP(1, (Лист2!$A$2:$A$505=A200)*(Лист2!$B$2:$B$505=B200), Лист2!$D$2:$D$505)</f>
        <v>1926</v>
      </c>
      <c r="G200" s="7" cm="1">
        <f t="array" ref="G200">_xlfn.XLOOKUP(1, (Лист2!$A$2:$A$505=A200)*(Лист2!$B$2:$B$505=B200), Лист2!$E$2:$E$505)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5">
      <c r="A201" s="8">
        <v>43972</v>
      </c>
      <c r="B201" s="9" t="s">
        <v>17</v>
      </c>
      <c r="C201" s="9">
        <v>40819.5</v>
      </c>
      <c r="D201" s="9">
        <v>3810394.5</v>
      </c>
      <c r="E201" s="7" cm="1">
        <f t="array" ref="E201">_xlfn.XLOOKUP(1,(Лист2!$A$2:$A$505=A201)*(Лист2!$B$2:$B$505=B201),(Лист2!$C$2:$C$505))</f>
        <v>21</v>
      </c>
      <c r="F201" s="7" cm="1">
        <f t="array" ref="F201">_xlfn.XLOOKUP(1, (Лист2!$A$2:$A$505=A201)*(Лист2!$B$2:$B$505=B201), Лист2!$D$2:$D$505)</f>
        <v>2335</v>
      </c>
      <c r="G201" s="7" cm="1">
        <f t="array" ref="G201">_xlfn.XLOOKUP(1, (Лист2!$A$2:$A$505=A201)*(Лист2!$B$2:$B$505=B201), Лист2!$E$2:$E$505)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5">
      <c r="A202" s="5">
        <v>43971</v>
      </c>
      <c r="B202" s="6" t="s">
        <v>17</v>
      </c>
      <c r="C202" s="6">
        <v>41391</v>
      </c>
      <c r="D202" s="6">
        <v>3918987</v>
      </c>
      <c r="E202" s="7" cm="1">
        <f t="array" ref="E202">_xlfn.XLOOKUP(1,(Лист2!$A$2:$A$505=A202)*(Лист2!$B$2:$B$505=B202),(Лист2!$C$2:$C$505))</f>
        <v>21</v>
      </c>
      <c r="F202" s="7" cm="1">
        <f t="array" ref="F202">_xlfn.XLOOKUP(1, (Лист2!$A$2:$A$505=A202)*(Лист2!$B$2:$B$505=B202), Лист2!$D$2:$D$505)</f>
        <v>2410</v>
      </c>
      <c r="G202" s="7" cm="1">
        <f t="array" ref="G202">_xlfn.XLOOKUP(1, (Лист2!$A$2:$A$505=A202)*(Лист2!$B$2:$B$505=B202), Лист2!$E$2:$E$505)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5">
      <c r="A203" s="8">
        <v>43956</v>
      </c>
      <c r="B203" s="9" t="s">
        <v>17</v>
      </c>
      <c r="C203" s="9">
        <v>29482.5</v>
      </c>
      <c r="D203" s="9">
        <v>2648688</v>
      </c>
      <c r="E203" s="7" cm="1">
        <f t="array" ref="E203">_xlfn.XLOOKUP(1,(Лист2!$A$2:$A$505=A203)*(Лист2!$B$2:$B$505=B203),(Лист2!$C$2:$C$505))</f>
        <v>20</v>
      </c>
      <c r="F203" s="7" cm="1">
        <f t="array" ref="F203">_xlfn.XLOOKUP(1, (Лист2!$A$2:$A$505=A203)*(Лист2!$B$2:$B$505=B203), Лист2!$D$2:$D$505)</f>
        <v>1757</v>
      </c>
      <c r="G203" s="7" cm="1">
        <f t="array" ref="G203">_xlfn.XLOOKUP(1, (Лист2!$A$2:$A$505=A203)*(Лист2!$B$2:$B$505=B203), Лист2!$E$2:$E$505)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5">
      <c r="A204" s="5">
        <v>43949</v>
      </c>
      <c r="B204" s="6" t="s">
        <v>17</v>
      </c>
      <c r="C204" s="6">
        <v>32181</v>
      </c>
      <c r="D204" s="6">
        <v>2863600.5</v>
      </c>
      <c r="E204" s="7" cm="1">
        <f t="array" ref="E204">_xlfn.XLOOKUP(1,(Лист2!$A$2:$A$505=A204)*(Лист2!$B$2:$B$505=B204),(Лист2!$C$2:$C$505))</f>
        <v>19</v>
      </c>
      <c r="F204" s="7" cm="1">
        <f t="array" ref="F204">_xlfn.XLOOKUP(1, (Лист2!$A$2:$A$505=A204)*(Лист2!$B$2:$B$505=B204), Лист2!$D$2:$D$505)</f>
        <v>1846</v>
      </c>
      <c r="G204" s="7" cm="1">
        <f t="array" ref="G204">_xlfn.XLOOKUP(1, (Лист2!$A$2:$A$505=A204)*(Лист2!$B$2:$B$505=B204), Лист2!$E$2:$E$505)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5">
      <c r="A205" s="8">
        <v>43964</v>
      </c>
      <c r="B205" s="9" t="s">
        <v>17</v>
      </c>
      <c r="C205" s="9">
        <v>35535</v>
      </c>
      <c r="D205" s="9">
        <v>3288069</v>
      </c>
      <c r="E205" s="7" cm="1">
        <f t="array" ref="E205">_xlfn.XLOOKUP(1,(Лист2!$A$2:$A$505=A205)*(Лист2!$B$2:$B$505=B205),(Лист2!$C$2:$C$505))</f>
        <v>21</v>
      </c>
      <c r="F205" s="7" cm="1">
        <f t="array" ref="F205">_xlfn.XLOOKUP(1, (Лист2!$A$2:$A$505=A205)*(Лист2!$B$2:$B$505=B205), Лист2!$D$2:$D$505)</f>
        <v>2061</v>
      </c>
      <c r="G205" s="7" cm="1">
        <f t="array" ref="G205">_xlfn.XLOOKUP(1, (Лист2!$A$2:$A$505=A205)*(Лист2!$B$2:$B$505=B205), Лист2!$E$2:$E$505)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5">
      <c r="A206" s="5">
        <v>43982</v>
      </c>
      <c r="B206" s="6" t="s">
        <v>16</v>
      </c>
      <c r="C206" s="6">
        <v>76234.5</v>
      </c>
      <c r="D206" s="6">
        <v>6500848.5</v>
      </c>
      <c r="E206" s="7" cm="1">
        <f t="array" ref="E206">_xlfn.XLOOKUP(1,(Лист2!$A$2:$A$505=A206)*(Лист2!$B$2:$B$505=B206),(Лист2!$C$2:$C$505))</f>
        <v>37</v>
      </c>
      <c r="F206" s="7" cm="1">
        <f t="array" ref="F206">_xlfn.XLOOKUP(1, (Лист2!$A$2:$A$505=A206)*(Лист2!$B$2:$B$505=B206), Лист2!$D$2:$D$505)</f>
        <v>5215</v>
      </c>
      <c r="G206" s="7" cm="1">
        <f t="array" ref="G206">_xlfn.XLOOKUP(1, (Лист2!$A$2:$A$505=A206)*(Лист2!$B$2:$B$505=B206), Лист2!$E$2:$E$505)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35">
      <c r="A207" s="8">
        <v>43954</v>
      </c>
      <c r="B207" s="9" t="s">
        <v>17</v>
      </c>
      <c r="C207" s="9">
        <v>29935.5</v>
      </c>
      <c r="D207" s="9">
        <v>2720002.5</v>
      </c>
      <c r="E207" s="7" cm="1">
        <f t="array" ref="E207">_xlfn.XLOOKUP(1,(Лист2!$A$2:$A$505=A207)*(Лист2!$B$2:$B$505=B207),(Лист2!$C$2:$C$505))</f>
        <v>20</v>
      </c>
      <c r="F207" s="7" cm="1">
        <f t="array" ref="F207">_xlfn.XLOOKUP(1, (Лист2!$A$2:$A$505=A207)*(Лист2!$B$2:$B$505=B207), Лист2!$D$2:$D$505)</f>
        <v>1716</v>
      </c>
      <c r="G207" s="7" cm="1">
        <f t="array" ref="G207">_xlfn.XLOOKUP(1, (Лист2!$A$2:$A$505=A207)*(Лист2!$B$2:$B$505=B207), Лист2!$E$2:$E$505)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35">
      <c r="A208" s="5">
        <v>43981</v>
      </c>
      <c r="B208" s="6" t="s">
        <v>16</v>
      </c>
      <c r="C208" s="6">
        <v>106926</v>
      </c>
      <c r="D208" s="6">
        <v>9098386.5</v>
      </c>
      <c r="E208" s="7" cm="1">
        <f t="array" ref="E208">_xlfn.XLOOKUP(1,(Лист2!$A$2:$A$505=A208)*(Лист2!$B$2:$B$505=B208),(Лист2!$C$2:$C$505))</f>
        <v>37</v>
      </c>
      <c r="F208" s="7" cm="1">
        <f t="array" ref="F208">_xlfn.XLOOKUP(1, (Лист2!$A$2:$A$505=A208)*(Лист2!$B$2:$B$505=B208), Лист2!$D$2:$D$505)</f>
        <v>6645</v>
      </c>
      <c r="G208" s="7" cm="1">
        <f t="array" ref="G208">_xlfn.XLOOKUP(1, (Лист2!$A$2:$A$505=A208)*(Лист2!$B$2:$B$505=B208), Лист2!$E$2:$E$505)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5">
      <c r="A209" s="8">
        <v>43957</v>
      </c>
      <c r="B209" s="9" t="s">
        <v>17</v>
      </c>
      <c r="C209" s="9">
        <v>30342</v>
      </c>
      <c r="D209" s="9">
        <v>2738127</v>
      </c>
      <c r="E209" s="7" cm="1">
        <f t="array" ref="E209">_xlfn.XLOOKUP(1,(Лист2!$A$2:$A$505=A209)*(Лист2!$B$2:$B$505=B209),(Лист2!$C$2:$C$505))</f>
        <v>20</v>
      </c>
      <c r="F209" s="7" cm="1">
        <f t="array" ref="F209">_xlfn.XLOOKUP(1, (Лист2!$A$2:$A$505=A209)*(Лист2!$B$2:$B$505=B209), Лист2!$D$2:$D$505)</f>
        <v>1747</v>
      </c>
      <c r="G209" s="7" cm="1">
        <f t="array" ref="G209">_xlfn.XLOOKUP(1, (Лист2!$A$2:$A$505=A209)*(Лист2!$B$2:$B$505=B209), Лист2!$E$2:$E$505)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5">
      <c r="A210" s="5">
        <v>43974</v>
      </c>
      <c r="B210" s="6" t="s">
        <v>17</v>
      </c>
      <c r="C210" s="6">
        <v>42999</v>
      </c>
      <c r="D210" s="6">
        <v>3883215</v>
      </c>
      <c r="E210" s="7" cm="1">
        <f t="array" ref="E210">_xlfn.XLOOKUP(1,(Лист2!$A$2:$A$505=A210)*(Лист2!$B$2:$B$505=B210),(Лист2!$C$2:$C$505))</f>
        <v>21</v>
      </c>
      <c r="F210" s="7" cm="1">
        <f t="array" ref="F210">_xlfn.XLOOKUP(1, (Лист2!$A$2:$A$505=A210)*(Лист2!$B$2:$B$505=B210), Лист2!$D$2:$D$505)</f>
        <v>2460</v>
      </c>
      <c r="G210" s="7" cm="1">
        <f t="array" ref="G210">_xlfn.XLOOKUP(1, (Лист2!$A$2:$A$505=A210)*(Лист2!$B$2:$B$505=B210), Лист2!$E$2:$E$505)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5">
      <c r="A211" s="8">
        <v>43979</v>
      </c>
      <c r="B211" s="9" t="s">
        <v>16</v>
      </c>
      <c r="C211" s="9">
        <v>69945</v>
      </c>
      <c r="D211" s="9">
        <v>6101931</v>
      </c>
      <c r="E211" s="7" cm="1">
        <f t="array" ref="E211">_xlfn.XLOOKUP(1,(Лист2!$A$2:$A$505=A211)*(Лист2!$B$2:$B$505=B211),(Лист2!$C$2:$C$505))</f>
        <v>37</v>
      </c>
      <c r="F211" s="7" cm="1">
        <f t="array" ref="F211">_xlfn.XLOOKUP(1, (Лист2!$A$2:$A$505=A211)*(Лист2!$B$2:$B$505=B211), Лист2!$D$2:$D$505)</f>
        <v>4840</v>
      </c>
      <c r="G211" s="7" cm="1">
        <f t="array" ref="G211">_xlfn.XLOOKUP(1, (Лист2!$A$2:$A$505=A211)*(Лист2!$B$2:$B$505=B211), Лист2!$E$2:$E$505)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5">
      <c r="A212" s="5">
        <v>43976</v>
      </c>
      <c r="B212" s="6" t="s">
        <v>17</v>
      </c>
      <c r="C212" s="6">
        <v>38740.5</v>
      </c>
      <c r="D212" s="6">
        <v>3561655.5</v>
      </c>
      <c r="E212" s="7" cm="1">
        <f t="array" ref="E212">_xlfn.XLOOKUP(1,(Лист2!$A$2:$A$505=A212)*(Лист2!$B$2:$B$505=B212),(Лист2!$C$2:$C$505))</f>
        <v>21</v>
      </c>
      <c r="F212" s="7" cm="1">
        <f t="array" ref="F212">_xlfn.XLOOKUP(1, (Лист2!$A$2:$A$505=A212)*(Лист2!$B$2:$B$505=B212), Лист2!$D$2:$D$505)</f>
        <v>2330</v>
      </c>
      <c r="G212" s="7" cm="1">
        <f t="array" ref="G212">_xlfn.XLOOKUP(1, (Лист2!$A$2:$A$505=A212)*(Лист2!$B$2:$B$505=B212), Лист2!$E$2:$E$505)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5">
      <c r="A213" s="8">
        <v>43951</v>
      </c>
      <c r="B213" s="9" t="s">
        <v>17</v>
      </c>
      <c r="C213" s="9">
        <v>31231.5</v>
      </c>
      <c r="D213" s="9">
        <v>2853310.5</v>
      </c>
      <c r="E213" s="7" cm="1">
        <f t="array" ref="E213">_xlfn.XLOOKUP(1,(Лист2!$A$2:$A$505=A213)*(Лист2!$B$2:$B$505=B213),(Лист2!$C$2:$C$505))</f>
        <v>20</v>
      </c>
      <c r="F213" s="7" cm="1">
        <f t="array" ref="F213">_xlfn.XLOOKUP(1, (Лист2!$A$2:$A$505=A213)*(Лист2!$B$2:$B$505=B213), Лист2!$D$2:$D$505)</f>
        <v>1756</v>
      </c>
      <c r="G213" s="7" cm="1">
        <f t="array" ref="G213">_xlfn.XLOOKUP(1, (Лист2!$A$2:$A$505=A213)*(Лист2!$B$2:$B$505=B213), Лист2!$E$2:$E$505)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5">
      <c r="A214" s="5">
        <v>43961</v>
      </c>
      <c r="B214" s="6" t="s">
        <v>17</v>
      </c>
      <c r="C214" s="6">
        <v>37489.5</v>
      </c>
      <c r="D214" s="6">
        <v>3549097.5</v>
      </c>
      <c r="E214" s="7" cm="1">
        <f t="array" ref="E214">_xlfn.XLOOKUP(1,(Лист2!$A$2:$A$505=A214)*(Лист2!$B$2:$B$505=B214),(Лист2!$C$2:$C$505))</f>
        <v>21</v>
      </c>
      <c r="F214" s="7" cm="1">
        <f t="array" ref="F214">_xlfn.XLOOKUP(1, (Лист2!$A$2:$A$505=A214)*(Лист2!$B$2:$B$505=B214), Лист2!$D$2:$D$505)</f>
        <v>2120</v>
      </c>
      <c r="G214" s="7" cm="1">
        <f t="array" ref="G214">_xlfn.XLOOKUP(1, (Лист2!$A$2:$A$505=A214)*(Лист2!$B$2:$B$505=B214), Лист2!$E$2:$E$505)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35">
      <c r="A215" s="8">
        <v>43959</v>
      </c>
      <c r="B215" s="9" t="s">
        <v>17</v>
      </c>
      <c r="C215" s="9">
        <v>34399.5</v>
      </c>
      <c r="D215" s="9">
        <v>3201358.5</v>
      </c>
      <c r="E215" s="7" cm="1">
        <f t="array" ref="E215">_xlfn.XLOOKUP(1,(Лист2!$A$2:$A$505=A215)*(Лист2!$B$2:$B$505=B215),(Лист2!$C$2:$C$505))</f>
        <v>21</v>
      </c>
      <c r="F215" s="7" cm="1">
        <f t="array" ref="F215">_xlfn.XLOOKUP(1, (Лист2!$A$2:$A$505=A215)*(Лист2!$B$2:$B$505=B215), Лист2!$D$2:$D$505)</f>
        <v>1957</v>
      </c>
      <c r="G215" s="7" cm="1">
        <f t="array" ref="G215">_xlfn.XLOOKUP(1, (Лист2!$A$2:$A$505=A215)*(Лист2!$B$2:$B$505=B215), Лист2!$E$2:$E$505)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5">
      <c r="A216" s="5">
        <v>43958</v>
      </c>
      <c r="B216" s="6" t="s">
        <v>17</v>
      </c>
      <c r="C216" s="6">
        <v>32851.5</v>
      </c>
      <c r="D216" s="6">
        <v>2934504</v>
      </c>
      <c r="E216" s="7" cm="1">
        <f t="array" ref="E216">_xlfn.XLOOKUP(1,(Лист2!$A$2:$A$505=A216)*(Лист2!$B$2:$B$505=B216),(Лист2!$C$2:$C$505))</f>
        <v>21</v>
      </c>
      <c r="F216" s="7" cm="1">
        <f t="array" ref="F216">_xlfn.XLOOKUP(1, (Лист2!$A$2:$A$505=A216)*(Лист2!$B$2:$B$505=B216), Лист2!$D$2:$D$505)</f>
        <v>1879</v>
      </c>
      <c r="G216" s="7" cm="1">
        <f t="array" ref="G216">_xlfn.XLOOKUP(1, (Лист2!$A$2:$A$505=A216)*(Лист2!$B$2:$B$505=B216), Лист2!$E$2:$E$505)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5">
      <c r="A217" s="8">
        <v>43975</v>
      </c>
      <c r="B217" s="9" t="s">
        <v>17</v>
      </c>
      <c r="C217" s="9">
        <v>38194.5</v>
      </c>
      <c r="D217" s="9">
        <v>3449302.5</v>
      </c>
      <c r="E217" s="7" cm="1">
        <f t="array" ref="E217">_xlfn.XLOOKUP(1,(Лист2!$A$2:$A$505=A217)*(Лист2!$B$2:$B$505=B217),(Лист2!$C$2:$C$505))</f>
        <v>21</v>
      </c>
      <c r="F217" s="7" cm="1">
        <f t="array" ref="F217">_xlfn.XLOOKUP(1, (Лист2!$A$2:$A$505=A217)*(Лист2!$B$2:$B$505=B217), Лист2!$D$2:$D$505)</f>
        <v>2254</v>
      </c>
      <c r="G217" s="7" cm="1">
        <f t="array" ref="G217">_xlfn.XLOOKUP(1, (Лист2!$A$2:$A$505=A217)*(Лист2!$B$2:$B$505=B217), Лист2!$E$2:$E$505)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35">
      <c r="A218" s="5">
        <v>43982</v>
      </c>
      <c r="B218" s="6" t="s">
        <v>17</v>
      </c>
      <c r="C218" s="6">
        <v>42423</v>
      </c>
      <c r="D218" s="6">
        <v>3994153.5</v>
      </c>
      <c r="E218" s="7" cm="1">
        <f t="array" ref="E218">_xlfn.XLOOKUP(1,(Лист2!$A$2:$A$505=A218)*(Лист2!$B$2:$B$505=B218),(Лист2!$C$2:$C$505))</f>
        <v>23</v>
      </c>
      <c r="F218" s="7" cm="1">
        <f t="array" ref="F218">_xlfn.XLOOKUP(1, (Лист2!$A$2:$A$505=A218)*(Лист2!$B$2:$B$505=B218), Лист2!$D$2:$D$505)</f>
        <v>2522</v>
      </c>
      <c r="G218" s="7" cm="1">
        <f t="array" ref="G218">_xlfn.XLOOKUP(1, (Лист2!$A$2:$A$505=A218)*(Лист2!$B$2:$B$505=B218), Лист2!$E$2:$E$505)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35">
      <c r="A219" s="8">
        <v>43981</v>
      </c>
      <c r="B219" s="9" t="s">
        <v>17</v>
      </c>
      <c r="C219" s="9">
        <v>48286.5</v>
      </c>
      <c r="D219" s="9">
        <v>4456441.5</v>
      </c>
      <c r="E219" s="7" cm="1">
        <f t="array" ref="E219">_xlfn.XLOOKUP(1,(Лист2!$A$2:$A$505=A219)*(Лист2!$B$2:$B$505=B219),(Лист2!$C$2:$C$505))</f>
        <v>22</v>
      </c>
      <c r="F219" s="7" cm="1">
        <f t="array" ref="F219">_xlfn.XLOOKUP(1, (Лист2!$A$2:$A$505=A219)*(Лист2!$B$2:$B$505=B219), Лист2!$D$2:$D$505)</f>
        <v>2793</v>
      </c>
      <c r="G219" s="7" cm="1">
        <f t="array" ref="G219">_xlfn.XLOOKUP(1, (Лист2!$A$2:$A$505=A219)*(Лист2!$B$2:$B$505=B219), Лист2!$E$2:$E$505)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5">
      <c r="A220" s="5">
        <v>43979</v>
      </c>
      <c r="B220" s="6" t="s">
        <v>17</v>
      </c>
      <c r="C220" s="6">
        <v>41442</v>
      </c>
      <c r="D220" s="6">
        <v>3893680.5</v>
      </c>
      <c r="E220" s="7" cm="1">
        <f t="array" ref="E220">_xlfn.XLOOKUP(1,(Лист2!$A$2:$A$505=A220)*(Лист2!$B$2:$B$505=B220),(Лист2!$C$2:$C$505))</f>
        <v>22</v>
      </c>
      <c r="F220" s="7" cm="1">
        <f t="array" ref="F220">_xlfn.XLOOKUP(1, (Лист2!$A$2:$A$505=A220)*(Лист2!$B$2:$B$505=B220), Лист2!$D$2:$D$505)</f>
        <v>2454</v>
      </c>
      <c r="G220" s="7" cm="1">
        <f t="array" ref="G220">_xlfn.XLOOKUP(1, (Лист2!$A$2:$A$505=A220)*(Лист2!$B$2:$B$505=B220), Лист2!$E$2:$E$505)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5">
      <c r="A221" s="8">
        <v>43967</v>
      </c>
      <c r="B221" s="9" t="s">
        <v>18</v>
      </c>
      <c r="C221" s="9">
        <v>18600</v>
      </c>
      <c r="D221" s="9">
        <v>1601425.5</v>
      </c>
      <c r="E221" s="7" cm="1">
        <f t="array" ref="E221">_xlfn.XLOOKUP(1,(Лист2!$A$2:$A$505=A221)*(Лист2!$B$2:$B$505=B221),(Лист2!$C$2:$C$505))</f>
        <v>15</v>
      </c>
      <c r="F221" s="7" cm="1">
        <f t="array" ref="F221">_xlfn.XLOOKUP(1, (Лист2!$A$2:$A$505=A221)*(Лист2!$B$2:$B$505=B221), Лист2!$D$2:$D$505)</f>
        <v>1111</v>
      </c>
      <c r="G221" s="7" cm="1">
        <f t="array" ref="G221">_xlfn.XLOOKUP(1, (Лист2!$A$2:$A$505=A221)*(Лист2!$B$2:$B$505=B221), Лист2!$E$2:$E$505)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5">
      <c r="A222" s="5">
        <v>43970</v>
      </c>
      <c r="B222" s="6" t="s">
        <v>18</v>
      </c>
      <c r="C222" s="6">
        <v>16638</v>
      </c>
      <c r="D222" s="6">
        <v>1364847</v>
      </c>
      <c r="E222" s="7" cm="1">
        <f t="array" ref="E222">_xlfn.XLOOKUP(1,(Лист2!$A$2:$A$505=A222)*(Лист2!$B$2:$B$505=B222),(Лист2!$C$2:$C$505))</f>
        <v>16</v>
      </c>
      <c r="F222" s="7" cm="1">
        <f t="array" ref="F222">_xlfn.XLOOKUP(1, (Лист2!$A$2:$A$505=A222)*(Лист2!$B$2:$B$505=B222), Лист2!$D$2:$D$505)</f>
        <v>1012</v>
      </c>
      <c r="G222" s="7" cm="1">
        <f t="array" ref="G222">_xlfn.XLOOKUP(1, (Лист2!$A$2:$A$505=A222)*(Лист2!$B$2:$B$505=B222), Лист2!$E$2:$E$505)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5">
      <c r="A223" s="8">
        <v>43968</v>
      </c>
      <c r="B223" s="9" t="s">
        <v>18</v>
      </c>
      <c r="C223" s="9">
        <v>15609</v>
      </c>
      <c r="D223" s="9">
        <v>1377577.5</v>
      </c>
      <c r="E223" s="7" cm="1">
        <f t="array" ref="E223">_xlfn.XLOOKUP(1,(Лист2!$A$2:$A$505=A223)*(Лист2!$B$2:$B$505=B223),(Лист2!$C$2:$C$505))</f>
        <v>15</v>
      </c>
      <c r="F223" s="7" cm="1">
        <f t="array" ref="F223">_xlfn.XLOOKUP(1, (Лист2!$A$2:$A$505=A223)*(Лист2!$B$2:$B$505=B223), Лист2!$D$2:$D$505)</f>
        <v>971</v>
      </c>
      <c r="G223" s="7" cm="1">
        <f t="array" ref="G223">_xlfn.XLOOKUP(1, (Лист2!$A$2:$A$505=A223)*(Лист2!$B$2:$B$505=B223), Лист2!$E$2:$E$505)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35">
      <c r="A224" s="5">
        <v>43960</v>
      </c>
      <c r="B224" s="6" t="s">
        <v>18</v>
      </c>
      <c r="C224" s="6">
        <v>13948.5</v>
      </c>
      <c r="D224" s="6">
        <v>1222932</v>
      </c>
      <c r="E224" s="7" cm="1">
        <f t="array" ref="E224">_xlfn.XLOOKUP(1,(Лист2!$A$2:$A$505=A224)*(Лист2!$B$2:$B$505=B224),(Лист2!$C$2:$C$505))</f>
        <v>15</v>
      </c>
      <c r="F224" s="7" cm="1">
        <f t="array" ref="F224">_xlfn.XLOOKUP(1, (Лист2!$A$2:$A$505=A224)*(Лист2!$B$2:$B$505=B224), Лист2!$D$2:$D$505)</f>
        <v>849</v>
      </c>
      <c r="G224" s="7" cm="1">
        <f t="array" ref="G224">_xlfn.XLOOKUP(1, (Лист2!$A$2:$A$505=A224)*(Лист2!$B$2:$B$505=B224), Лист2!$E$2:$E$505)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5">
      <c r="A225" s="8">
        <v>43955</v>
      </c>
      <c r="B225" s="9" t="s">
        <v>18</v>
      </c>
      <c r="C225" s="9">
        <v>12301.5</v>
      </c>
      <c r="D225" s="9">
        <v>1085211</v>
      </c>
      <c r="E225" s="7" cm="1">
        <f t="array" ref="E225">_xlfn.XLOOKUP(1,(Лист2!$A$2:$A$505=A225)*(Лист2!$B$2:$B$505=B225),(Лист2!$C$2:$C$505))</f>
        <v>15</v>
      </c>
      <c r="F225" s="7" cm="1">
        <f t="array" ref="F225">_xlfn.XLOOKUP(1, (Лист2!$A$2:$A$505=A225)*(Лист2!$B$2:$B$505=B225), Лист2!$D$2:$D$505)</f>
        <v>750</v>
      </c>
      <c r="G225" s="7" cm="1">
        <f t="array" ref="G225">_xlfn.XLOOKUP(1, (Лист2!$A$2:$A$505=A225)*(Лист2!$B$2:$B$505=B225), Лист2!$E$2:$E$505)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5">
      <c r="A226" s="5">
        <v>43950</v>
      </c>
      <c r="B226" s="6" t="s">
        <v>18</v>
      </c>
      <c r="C226" s="6">
        <v>13014</v>
      </c>
      <c r="D226" s="6">
        <v>1115992.5</v>
      </c>
      <c r="E226" s="7" cm="1">
        <f t="array" ref="E226">_xlfn.XLOOKUP(1,(Лист2!$A$2:$A$505=A226)*(Лист2!$B$2:$B$505=B226),(Лист2!$C$2:$C$505))</f>
        <v>15</v>
      </c>
      <c r="F226" s="7" cm="1">
        <f t="array" ref="F226">_xlfn.XLOOKUP(1, (Лист2!$A$2:$A$505=A226)*(Лист2!$B$2:$B$505=B226), Лист2!$D$2:$D$505)</f>
        <v>786</v>
      </c>
      <c r="G226" s="7" cm="1">
        <f t="array" ref="G226">_xlfn.XLOOKUP(1, (Лист2!$A$2:$A$505=A226)*(Лист2!$B$2:$B$505=B226), Лист2!$E$2:$E$505)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5">
      <c r="A227" s="8">
        <v>43953</v>
      </c>
      <c r="B227" s="9" t="s">
        <v>18</v>
      </c>
      <c r="C227" s="9">
        <v>12313.5</v>
      </c>
      <c r="D227" s="9">
        <v>1053220.5</v>
      </c>
      <c r="E227" s="7" cm="1">
        <f t="array" ref="E227">_xlfn.XLOOKUP(1,(Лист2!$A$2:$A$505=A227)*(Лист2!$B$2:$B$505=B227),(Лист2!$C$2:$C$505))</f>
        <v>15</v>
      </c>
      <c r="F227" s="7" cm="1">
        <f t="array" ref="F227">_xlfn.XLOOKUP(1, (Лист2!$A$2:$A$505=A227)*(Лист2!$B$2:$B$505=B227), Лист2!$D$2:$D$505)</f>
        <v>751</v>
      </c>
      <c r="G227" s="7" cm="1">
        <f t="array" ref="G227">_xlfn.XLOOKUP(1, (Лист2!$A$2:$A$505=A227)*(Лист2!$B$2:$B$505=B227), Лист2!$E$2:$E$505)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5">
      <c r="A228" s="5">
        <v>43977</v>
      </c>
      <c r="B228" s="6" t="s">
        <v>18</v>
      </c>
      <c r="C228" s="6">
        <v>17391</v>
      </c>
      <c r="D228" s="6">
        <v>1489132.5</v>
      </c>
      <c r="E228" s="7" cm="1">
        <f t="array" ref="E228">_xlfn.XLOOKUP(1,(Лист2!$A$2:$A$505=A228)*(Лист2!$B$2:$B$505=B228),(Лист2!$C$2:$C$505))</f>
        <v>17</v>
      </c>
      <c r="F228" s="7" cm="1">
        <f t="array" ref="F228">_xlfn.XLOOKUP(1, (Лист2!$A$2:$A$505=A228)*(Лист2!$B$2:$B$505=B228), Лист2!$D$2:$D$505)</f>
        <v>1140</v>
      </c>
      <c r="G228" s="7" cm="1">
        <f t="array" ref="G228">_xlfn.XLOOKUP(1, (Лист2!$A$2:$A$505=A228)*(Лист2!$B$2:$B$505=B228), Лист2!$E$2:$E$505)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5">
      <c r="A229" s="8">
        <v>43952</v>
      </c>
      <c r="B229" s="9" t="s">
        <v>18</v>
      </c>
      <c r="C229" s="9">
        <v>17113.5</v>
      </c>
      <c r="D229" s="9">
        <v>1465842</v>
      </c>
      <c r="E229" s="7" cm="1">
        <f t="array" ref="E229">_xlfn.XLOOKUP(1,(Лист2!$A$2:$A$505=A229)*(Лист2!$B$2:$B$505=B229),(Лист2!$C$2:$C$505))</f>
        <v>15</v>
      </c>
      <c r="F229" s="7" cm="1">
        <f t="array" ref="F229">_xlfn.XLOOKUP(1, (Лист2!$A$2:$A$505=A229)*(Лист2!$B$2:$B$505=B229), Лист2!$D$2:$D$505)</f>
        <v>996</v>
      </c>
      <c r="G229" s="7" cm="1">
        <f t="array" ref="G229">_xlfn.XLOOKUP(1, (Лист2!$A$2:$A$505=A229)*(Лист2!$B$2:$B$505=B229), Лист2!$E$2:$E$505)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5">
      <c r="A230" s="5">
        <v>43963</v>
      </c>
      <c r="B230" s="6" t="s">
        <v>18</v>
      </c>
      <c r="C230" s="6">
        <v>12802.5</v>
      </c>
      <c r="D230" s="6">
        <v>1123830</v>
      </c>
      <c r="E230" s="7" cm="1">
        <f t="array" ref="E230">_xlfn.XLOOKUP(1,(Лист2!$A$2:$A$505=A230)*(Лист2!$B$2:$B$505=B230),(Лист2!$C$2:$C$505))</f>
        <v>15</v>
      </c>
      <c r="F230" s="7" cm="1">
        <f t="array" ref="F230">_xlfn.XLOOKUP(1, (Лист2!$A$2:$A$505=A230)*(Лист2!$B$2:$B$505=B230), Лист2!$D$2:$D$505)</f>
        <v>845</v>
      </c>
      <c r="G230" s="7" cm="1">
        <f t="array" ref="G230">_xlfn.XLOOKUP(1, (Лист2!$A$2:$A$505=A230)*(Лист2!$B$2:$B$505=B230), Лист2!$E$2:$E$505)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5">
      <c r="A231" s="8">
        <v>43972</v>
      </c>
      <c r="B231" s="9" t="s">
        <v>18</v>
      </c>
      <c r="C231" s="9">
        <v>16554</v>
      </c>
      <c r="D231" s="9">
        <v>1380751.5</v>
      </c>
      <c r="E231" s="7" cm="1">
        <f t="array" ref="E231">_xlfn.XLOOKUP(1,(Лист2!$A$2:$A$505=A231)*(Лист2!$B$2:$B$505=B231),(Лист2!$C$2:$C$505))</f>
        <v>17</v>
      </c>
      <c r="F231" s="7" cm="1">
        <f t="array" ref="F231">_xlfn.XLOOKUP(1, (Лист2!$A$2:$A$505=A231)*(Лист2!$B$2:$B$505=B231), Лист2!$D$2:$D$505)</f>
        <v>1045</v>
      </c>
      <c r="G231" s="7" cm="1">
        <f t="array" ref="G231">_xlfn.XLOOKUP(1, (Лист2!$A$2:$A$505=A231)*(Лист2!$B$2:$B$505=B231), Лист2!$E$2:$E$505)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5">
      <c r="A232" s="5">
        <v>43971</v>
      </c>
      <c r="B232" s="6" t="s">
        <v>18</v>
      </c>
      <c r="C232" s="6">
        <v>17329.5</v>
      </c>
      <c r="D232" s="6">
        <v>1430254.5</v>
      </c>
      <c r="E232" s="7" cm="1">
        <f t="array" ref="E232">_xlfn.XLOOKUP(1,(Лист2!$A$2:$A$505=A232)*(Лист2!$B$2:$B$505=B232),(Лист2!$C$2:$C$505))</f>
        <v>16</v>
      </c>
      <c r="F232" s="7" cm="1">
        <f t="array" ref="F232">_xlfn.XLOOKUP(1, (Лист2!$A$2:$A$505=A232)*(Лист2!$B$2:$B$505=B232), Лист2!$D$2:$D$505)</f>
        <v>1050</v>
      </c>
      <c r="G232" s="7" cm="1">
        <f t="array" ref="G232">_xlfn.XLOOKUP(1, (Лист2!$A$2:$A$505=A232)*(Лист2!$B$2:$B$505=B232), Лист2!$E$2:$E$505)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5">
      <c r="A233" s="8">
        <v>43956</v>
      </c>
      <c r="B233" s="9" t="s">
        <v>18</v>
      </c>
      <c r="C233" s="9">
        <v>15987</v>
      </c>
      <c r="D233" s="9">
        <v>1384179</v>
      </c>
      <c r="E233" s="7" cm="1">
        <f t="array" ref="E233">_xlfn.XLOOKUP(1,(Лист2!$A$2:$A$505=A233)*(Лист2!$B$2:$B$505=B233),(Лист2!$C$2:$C$505))</f>
        <v>15</v>
      </c>
      <c r="F233" s="7" cm="1">
        <f t="array" ref="F233">_xlfn.XLOOKUP(1, (Лист2!$A$2:$A$505=A233)*(Лист2!$B$2:$B$505=B233), Лист2!$D$2:$D$505)</f>
        <v>922</v>
      </c>
      <c r="G233" s="7" cm="1">
        <f t="array" ref="G233">_xlfn.XLOOKUP(1, (Лист2!$A$2:$A$505=A233)*(Лист2!$B$2:$B$505=B233), Лист2!$E$2:$E$505)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5">
      <c r="A234" s="5">
        <v>43949</v>
      </c>
      <c r="B234" s="6" t="s">
        <v>18</v>
      </c>
      <c r="C234" s="6">
        <v>13303.5</v>
      </c>
      <c r="D234" s="6">
        <v>1102887</v>
      </c>
      <c r="E234" s="7" cm="1">
        <f t="array" ref="E234">_xlfn.XLOOKUP(1,(Лист2!$A$2:$A$505=A234)*(Лист2!$B$2:$B$505=B234),(Лист2!$C$2:$C$505))</f>
        <v>15</v>
      </c>
      <c r="F234" s="7" cm="1">
        <f t="array" ref="F234">_xlfn.XLOOKUP(1, (Лист2!$A$2:$A$505=A234)*(Лист2!$B$2:$B$505=B234), Лист2!$D$2:$D$505)</f>
        <v>780</v>
      </c>
      <c r="G234" s="7" cm="1">
        <f t="array" ref="G234">_xlfn.XLOOKUP(1, (Лист2!$A$2:$A$505=A234)*(Лист2!$B$2:$B$505=B234), Лист2!$E$2:$E$505)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5">
      <c r="A235" s="8">
        <v>43964</v>
      </c>
      <c r="B235" s="9" t="s">
        <v>18</v>
      </c>
      <c r="C235" s="9">
        <v>14305.5</v>
      </c>
      <c r="D235" s="9">
        <v>1243507.5</v>
      </c>
      <c r="E235" s="7" cm="1">
        <f t="array" ref="E235">_xlfn.XLOOKUP(1,(Лист2!$A$2:$A$505=A235)*(Лист2!$B$2:$B$505=B235),(Лист2!$C$2:$C$505))</f>
        <v>15</v>
      </c>
      <c r="F235" s="7" cm="1">
        <f t="array" ref="F235">_xlfn.XLOOKUP(1, (Лист2!$A$2:$A$505=A235)*(Лист2!$B$2:$B$505=B235), Лист2!$D$2:$D$505)</f>
        <v>898</v>
      </c>
      <c r="G235" s="7" cm="1">
        <f t="array" ref="G235">_xlfn.XLOOKUP(1, (Лист2!$A$2:$A$505=A235)*(Лист2!$B$2:$B$505=B235), Лист2!$E$2:$E$505)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5">
      <c r="A236" s="5">
        <v>43954</v>
      </c>
      <c r="B236" s="6" t="s">
        <v>18</v>
      </c>
      <c r="C236" s="6">
        <v>12924</v>
      </c>
      <c r="D236" s="6">
        <v>1120009.5</v>
      </c>
      <c r="E236" s="7" cm="1">
        <f t="array" ref="E236">_xlfn.XLOOKUP(1,(Лист2!$A$2:$A$505=A236)*(Лист2!$B$2:$B$505=B236),(Лист2!$C$2:$C$505))</f>
        <v>15</v>
      </c>
      <c r="F236" s="7" cm="1">
        <f t="array" ref="F236">_xlfn.XLOOKUP(1, (Лист2!$A$2:$A$505=A236)*(Лист2!$B$2:$B$505=B236), Лист2!$D$2:$D$505)</f>
        <v>784</v>
      </c>
      <c r="G236" s="7" cm="1">
        <f t="array" ref="G236">_xlfn.XLOOKUP(1, (Лист2!$A$2:$A$505=A236)*(Лист2!$B$2:$B$505=B236), Лист2!$E$2:$E$505)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35">
      <c r="A237" s="8">
        <v>43957</v>
      </c>
      <c r="B237" s="9" t="s">
        <v>18</v>
      </c>
      <c r="C237" s="9">
        <v>14061</v>
      </c>
      <c r="D237" s="9">
        <v>1221057</v>
      </c>
      <c r="E237" s="7" cm="1">
        <f t="array" ref="E237">_xlfn.XLOOKUP(1,(Лист2!$A$2:$A$505=A237)*(Лист2!$B$2:$B$505=B237),(Лист2!$C$2:$C$505))</f>
        <v>15</v>
      </c>
      <c r="F237" s="7" cm="1">
        <f t="array" ref="F237">_xlfn.XLOOKUP(1, (Лист2!$A$2:$A$505=A237)*(Лист2!$B$2:$B$505=B237), Лист2!$D$2:$D$505)</f>
        <v>839</v>
      </c>
      <c r="G237" s="7" cm="1">
        <f t="array" ref="G237">_xlfn.XLOOKUP(1, (Лист2!$A$2:$A$505=A237)*(Лист2!$B$2:$B$505=B237), Лист2!$E$2:$E$505)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5">
      <c r="A238" s="5">
        <v>43974</v>
      </c>
      <c r="B238" s="6" t="s">
        <v>18</v>
      </c>
      <c r="C238" s="6">
        <v>21958.5</v>
      </c>
      <c r="D238" s="6">
        <v>1854001.5</v>
      </c>
      <c r="E238" s="7" cm="1">
        <f t="array" ref="E238">_xlfn.XLOOKUP(1,(Лист2!$A$2:$A$505=A238)*(Лист2!$B$2:$B$505=B238),(Лист2!$C$2:$C$505))</f>
        <v>17</v>
      </c>
      <c r="F238" s="7" cm="1">
        <f t="array" ref="F238">_xlfn.XLOOKUP(1, (Лист2!$A$2:$A$505=A238)*(Лист2!$B$2:$B$505=B238), Лист2!$D$2:$D$505)</f>
        <v>1294</v>
      </c>
      <c r="G238" s="7" cm="1">
        <f t="array" ref="G238">_xlfn.XLOOKUP(1, (Лист2!$A$2:$A$505=A238)*(Лист2!$B$2:$B$505=B238), Лист2!$E$2:$E$505)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5">
      <c r="A239" s="8">
        <v>43976</v>
      </c>
      <c r="B239" s="9" t="s">
        <v>18</v>
      </c>
      <c r="C239" s="9">
        <v>17211</v>
      </c>
      <c r="D239" s="9">
        <v>1507867.5</v>
      </c>
      <c r="E239" s="7" cm="1">
        <f t="array" ref="E239">_xlfn.XLOOKUP(1,(Лист2!$A$2:$A$505=A239)*(Лист2!$B$2:$B$505=B239),(Лист2!$C$2:$C$505))</f>
        <v>17</v>
      </c>
      <c r="F239" s="7" cm="1">
        <f t="array" ref="F239">_xlfn.XLOOKUP(1, (Лист2!$A$2:$A$505=A239)*(Лист2!$B$2:$B$505=B239), Лист2!$D$2:$D$505)</f>
        <v>1142</v>
      </c>
      <c r="G239" s="7" cm="1">
        <f t="array" ref="G239">_xlfn.XLOOKUP(1, (Лист2!$A$2:$A$505=A239)*(Лист2!$B$2:$B$505=B239), Лист2!$E$2:$E$505)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5">
      <c r="A240" s="5">
        <v>43951</v>
      </c>
      <c r="B240" s="6" t="s">
        <v>18</v>
      </c>
      <c r="C240" s="6">
        <v>12753</v>
      </c>
      <c r="D240" s="6">
        <v>1103068.5</v>
      </c>
      <c r="E240" s="7" cm="1">
        <f t="array" ref="E240">_xlfn.XLOOKUP(1,(Лист2!$A$2:$A$505=A240)*(Лист2!$B$2:$B$505=B240),(Лист2!$C$2:$C$505))</f>
        <v>15</v>
      </c>
      <c r="F240" s="7" cm="1">
        <f t="array" ref="F240">_xlfn.XLOOKUP(1, (Лист2!$A$2:$A$505=A240)*(Лист2!$B$2:$B$505=B240), Лист2!$D$2:$D$505)</f>
        <v>791</v>
      </c>
      <c r="G240" s="7" cm="1">
        <f t="array" ref="G240">_xlfn.XLOOKUP(1, (Лист2!$A$2:$A$505=A240)*(Лист2!$B$2:$B$505=B240), Лист2!$E$2:$E$505)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5">
      <c r="A241" s="8">
        <v>43961</v>
      </c>
      <c r="B241" s="9" t="s">
        <v>18</v>
      </c>
      <c r="C241" s="9">
        <v>16435.5</v>
      </c>
      <c r="D241" s="9">
        <v>1471537.5</v>
      </c>
      <c r="E241" s="7" cm="1">
        <f t="array" ref="E241">_xlfn.XLOOKUP(1,(Лист2!$A$2:$A$505=A241)*(Лист2!$B$2:$B$505=B241),(Лист2!$C$2:$C$505))</f>
        <v>15</v>
      </c>
      <c r="F241" s="7" cm="1">
        <f t="array" ref="F241">_xlfn.XLOOKUP(1, (Лист2!$A$2:$A$505=A241)*(Лист2!$B$2:$B$505=B241), Лист2!$D$2:$D$505)</f>
        <v>950</v>
      </c>
      <c r="G241" s="7" cm="1">
        <f t="array" ref="G241">_xlfn.XLOOKUP(1, (Лист2!$A$2:$A$505=A241)*(Лист2!$B$2:$B$505=B241), Лист2!$E$2:$E$505)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35">
      <c r="A242" s="5">
        <v>43959</v>
      </c>
      <c r="B242" s="6" t="s">
        <v>18</v>
      </c>
      <c r="C242" s="6">
        <v>14494.5</v>
      </c>
      <c r="D242" s="6">
        <v>1269786</v>
      </c>
      <c r="E242" s="7" cm="1">
        <f t="array" ref="E242">_xlfn.XLOOKUP(1,(Лист2!$A$2:$A$505=A242)*(Лист2!$B$2:$B$505=B242),(Лист2!$C$2:$C$505))</f>
        <v>15</v>
      </c>
      <c r="F242" s="7" cm="1">
        <f t="array" ref="F242">_xlfn.XLOOKUP(1, (Лист2!$A$2:$A$505=A242)*(Лист2!$B$2:$B$505=B242), Лист2!$D$2:$D$505)</f>
        <v>879</v>
      </c>
      <c r="G242" s="7" cm="1">
        <f t="array" ref="G242">_xlfn.XLOOKUP(1, (Лист2!$A$2:$A$505=A242)*(Лист2!$B$2:$B$505=B242), Лист2!$E$2:$E$505)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5">
      <c r="A243" s="8">
        <v>43958</v>
      </c>
      <c r="B243" s="9" t="s">
        <v>18</v>
      </c>
      <c r="C243" s="9">
        <v>12705</v>
      </c>
      <c r="D243" s="9">
        <v>1123894.5</v>
      </c>
      <c r="E243" s="7" cm="1">
        <f t="array" ref="E243">_xlfn.XLOOKUP(1,(Лист2!$A$2:$A$505=A243)*(Лист2!$B$2:$B$505=B243),(Лист2!$C$2:$C$505))</f>
        <v>15</v>
      </c>
      <c r="F243" s="7" cm="1">
        <f t="array" ref="F243">_xlfn.XLOOKUP(1, (Лист2!$A$2:$A$505=A243)*(Лист2!$B$2:$B$505=B243), Лист2!$D$2:$D$505)</f>
        <v>805</v>
      </c>
      <c r="G243" s="7" cm="1">
        <f t="array" ref="G243">_xlfn.XLOOKUP(1, (Лист2!$A$2:$A$505=A243)*(Лист2!$B$2:$B$505=B243), Лист2!$E$2:$E$505)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5">
      <c r="A244" s="5">
        <v>43975</v>
      </c>
      <c r="B244" s="6" t="s">
        <v>18</v>
      </c>
      <c r="C244" s="6">
        <v>18075</v>
      </c>
      <c r="D244" s="6">
        <v>1548099</v>
      </c>
      <c r="E244" s="7" cm="1">
        <f t="array" ref="E244">_xlfn.XLOOKUP(1,(Лист2!$A$2:$A$505=A244)*(Лист2!$B$2:$B$505=B244),(Лист2!$C$2:$C$505))</f>
        <v>17</v>
      </c>
      <c r="F244" s="7" cm="1">
        <f t="array" ref="F244">_xlfn.XLOOKUP(1, (Лист2!$A$2:$A$505=A244)*(Лист2!$B$2:$B$505=B244), Лист2!$D$2:$D$505)</f>
        <v>1128</v>
      </c>
      <c r="G244" s="7" cm="1">
        <f t="array" ref="G244">_xlfn.XLOOKUP(1, (Лист2!$A$2:$A$505=A244)*(Лист2!$B$2:$B$505=B244), Лист2!$E$2:$E$505)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35">
      <c r="A245" s="8">
        <v>43967</v>
      </c>
      <c r="B245" s="9" t="s">
        <v>19</v>
      </c>
      <c r="C245" s="9">
        <v>13120.5</v>
      </c>
      <c r="D245" s="9">
        <v>1215033</v>
      </c>
      <c r="E245" s="7" cm="1">
        <f t="array" ref="E245">_xlfn.XLOOKUP(1,(Лист2!$A$2:$A$505=A245)*(Лист2!$B$2:$B$505=B245),(Лист2!$C$2:$C$505))</f>
        <v>15</v>
      </c>
      <c r="F245" s="7" cm="1">
        <f t="array" ref="F245">_xlfn.XLOOKUP(1, (Лист2!$A$2:$A$505=A245)*(Лист2!$B$2:$B$505=B245), Лист2!$D$2:$D$505)</f>
        <v>747</v>
      </c>
      <c r="G245" s="7" cm="1">
        <f t="array" ref="G245">_xlfn.XLOOKUP(1, (Лист2!$A$2:$A$505=A245)*(Лист2!$B$2:$B$505=B245), Лист2!$E$2:$E$505)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5">
      <c r="A246" s="5">
        <v>43970</v>
      </c>
      <c r="B246" s="6" t="s">
        <v>19</v>
      </c>
      <c r="C246" s="6">
        <v>16237.5</v>
      </c>
      <c r="D246" s="6">
        <v>1403047.5</v>
      </c>
      <c r="E246" s="7" cm="1">
        <f t="array" ref="E246">_xlfn.XLOOKUP(1,(Лист2!$A$2:$A$505=A246)*(Лист2!$B$2:$B$505=B246),(Лист2!$C$2:$C$505))</f>
        <v>15</v>
      </c>
      <c r="F246" s="7" cm="1">
        <f t="array" ref="F246">_xlfn.XLOOKUP(1, (Лист2!$A$2:$A$505=A246)*(Лист2!$B$2:$B$505=B246), Лист2!$D$2:$D$505)</f>
        <v>930</v>
      </c>
      <c r="G246" s="7" cm="1">
        <f t="array" ref="G246">_xlfn.XLOOKUP(1, (Лист2!$A$2:$A$505=A246)*(Лист2!$B$2:$B$505=B246), Лист2!$E$2:$E$505)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5">
      <c r="A247" s="8">
        <v>43968</v>
      </c>
      <c r="B247" s="9" t="s">
        <v>19</v>
      </c>
      <c r="C247" s="9">
        <v>11967</v>
      </c>
      <c r="D247" s="9">
        <v>1060489.5</v>
      </c>
      <c r="E247" s="7" cm="1">
        <f t="array" ref="E247">_xlfn.XLOOKUP(1,(Лист2!$A$2:$A$505=A247)*(Лист2!$B$2:$B$505=B247),(Лист2!$C$2:$C$505))</f>
        <v>15</v>
      </c>
      <c r="F247" s="7" cm="1">
        <f t="array" ref="F247">_xlfn.XLOOKUP(1, (Лист2!$A$2:$A$505=A247)*(Лист2!$B$2:$B$505=B247), Лист2!$D$2:$D$505)</f>
        <v>692</v>
      </c>
      <c r="G247" s="7" cm="1">
        <f t="array" ref="G247">_xlfn.XLOOKUP(1, (Лист2!$A$2:$A$505=A247)*(Лист2!$B$2:$B$505=B247), Лист2!$E$2:$E$505)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35">
      <c r="A248" s="5">
        <v>43960</v>
      </c>
      <c r="B248" s="6" t="s">
        <v>19</v>
      </c>
      <c r="C248" s="6">
        <v>12037.5</v>
      </c>
      <c r="D248" s="6">
        <v>1081216.5</v>
      </c>
      <c r="E248" s="7" cm="1">
        <f t="array" ref="E248">_xlfn.XLOOKUP(1,(Лист2!$A$2:$A$505=A248)*(Лист2!$B$2:$B$505=B248),(Лист2!$C$2:$C$505))</f>
        <v>15</v>
      </c>
      <c r="F248" s="7" cm="1">
        <f t="array" ref="F248">_xlfn.XLOOKUP(1, (Лист2!$A$2:$A$505=A248)*(Лист2!$B$2:$B$505=B248), Лист2!$D$2:$D$505)</f>
        <v>623</v>
      </c>
      <c r="G248" s="7" cm="1">
        <f t="array" ref="G248">_xlfn.XLOOKUP(1, (Лист2!$A$2:$A$505=A248)*(Лист2!$B$2:$B$505=B248), Лист2!$E$2:$E$505)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5">
      <c r="A249" s="8">
        <v>43955</v>
      </c>
      <c r="B249" s="9" t="s">
        <v>19</v>
      </c>
      <c r="C249" s="9">
        <v>7087.5</v>
      </c>
      <c r="D249" s="9">
        <v>610855.5</v>
      </c>
      <c r="E249" s="7" cm="1">
        <f t="array" ref="E249">_xlfn.XLOOKUP(1,(Лист2!$A$2:$A$505=A249)*(Лист2!$B$2:$B$505=B249),(Лист2!$C$2:$C$505))</f>
        <v>15</v>
      </c>
      <c r="F249" s="7" cm="1">
        <f t="array" ref="F249">_xlfn.XLOOKUP(1, (Лист2!$A$2:$A$505=A249)*(Лист2!$B$2:$B$505=B249), Лист2!$D$2:$D$505)</f>
        <v>390</v>
      </c>
      <c r="G249" s="7" cm="1">
        <f t="array" ref="G249">_xlfn.XLOOKUP(1, (Лист2!$A$2:$A$505=A249)*(Лист2!$B$2:$B$505=B249), Лист2!$E$2:$E$505)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5">
      <c r="A250" s="5">
        <v>43950</v>
      </c>
      <c r="B250" s="6" t="s">
        <v>20</v>
      </c>
      <c r="C250" s="6">
        <v>25816.5</v>
      </c>
      <c r="D250" s="6">
        <v>2360914.5</v>
      </c>
      <c r="E250" s="7" cm="1">
        <f t="array" ref="E250">_xlfn.XLOOKUP(1,(Лист2!$A$2:$A$505=A250)*(Лист2!$B$2:$B$505=B250),(Лист2!$C$2:$C$505))</f>
        <v>18</v>
      </c>
      <c r="F250" s="7" cm="1">
        <f t="array" ref="F250">_xlfn.XLOOKUP(1, (Лист2!$A$2:$A$505=A250)*(Лист2!$B$2:$B$505=B250), Лист2!$D$2:$D$505)</f>
        <v>1599</v>
      </c>
      <c r="G250" s="7" cm="1">
        <f t="array" ref="G250">_xlfn.XLOOKUP(1, (Лист2!$A$2:$A$505=A250)*(Лист2!$B$2:$B$505=B250), Лист2!$E$2:$E$505)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5">
      <c r="A251" s="8">
        <v>43953</v>
      </c>
      <c r="B251" s="9" t="s">
        <v>19</v>
      </c>
      <c r="C251" s="9">
        <v>4624.5</v>
      </c>
      <c r="D251" s="9">
        <v>433243.5</v>
      </c>
      <c r="E251" s="7" cm="1">
        <f t="array" ref="E251">_xlfn.XLOOKUP(1,(Лист2!$A$2:$A$505=A251)*(Лист2!$B$2:$B$505=B251),(Лист2!$C$2:$C$505))</f>
        <v>15</v>
      </c>
      <c r="F251" s="7" cm="1">
        <f t="array" ref="F251">_xlfn.XLOOKUP(1, (Лист2!$A$2:$A$505=A251)*(Лист2!$B$2:$B$505=B251), Лист2!$D$2:$D$505)</f>
        <v>274</v>
      </c>
      <c r="G251" s="7" cm="1">
        <f t="array" ref="G251">_xlfn.XLOOKUP(1, (Лист2!$A$2:$A$505=A251)*(Лист2!$B$2:$B$505=B251), Лист2!$E$2:$E$505)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5">
      <c r="A252" s="5">
        <v>43977</v>
      </c>
      <c r="B252" s="6" t="s">
        <v>19</v>
      </c>
      <c r="C252" s="6">
        <v>12259.5</v>
      </c>
      <c r="D252" s="6">
        <v>1152054</v>
      </c>
      <c r="E252" s="7" cm="1">
        <f t="array" ref="E252">_xlfn.XLOOKUP(1,(Лист2!$A$2:$A$505=A252)*(Лист2!$B$2:$B$505=B252),(Лист2!$C$2:$C$505))</f>
        <v>15</v>
      </c>
      <c r="F252" s="7" cm="1">
        <f t="array" ref="F252">_xlfn.XLOOKUP(1, (Лист2!$A$2:$A$505=A252)*(Лист2!$B$2:$B$505=B252), Лист2!$D$2:$D$505)</f>
        <v>812</v>
      </c>
      <c r="G252" s="7" cm="1">
        <f t="array" ref="G252">_xlfn.XLOOKUP(1, (Лист2!$A$2:$A$505=A252)*(Лист2!$B$2:$B$505=B252), Лист2!$E$2:$E$505)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5">
      <c r="A253" s="8">
        <v>43952</v>
      </c>
      <c r="B253" s="9" t="s">
        <v>19</v>
      </c>
      <c r="C253" s="9">
        <v>5446.5</v>
      </c>
      <c r="D253" s="9">
        <v>505572</v>
      </c>
      <c r="E253" s="7" cm="1">
        <f t="array" ref="E253">_xlfn.XLOOKUP(1,(Лист2!$A$2:$A$505=A253)*(Лист2!$B$2:$B$505=B253),(Лист2!$C$2:$C$505))</f>
        <v>15</v>
      </c>
      <c r="F253" s="7" cm="1">
        <f t="array" ref="F253">_xlfn.XLOOKUP(1, (Лист2!$A$2:$A$505=A253)*(Лист2!$B$2:$B$505=B253), Лист2!$D$2:$D$505)</f>
        <v>294</v>
      </c>
      <c r="G253" s="7" cm="1">
        <f t="array" ref="G253">_xlfn.XLOOKUP(1, (Лист2!$A$2:$A$505=A253)*(Лист2!$B$2:$B$505=B253), Лист2!$E$2:$E$505)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5">
      <c r="A254" s="5">
        <v>43963</v>
      </c>
      <c r="B254" s="6" t="s">
        <v>19</v>
      </c>
      <c r="C254" s="6">
        <v>11296.5</v>
      </c>
      <c r="D254" s="6">
        <v>989632.5</v>
      </c>
      <c r="E254" s="7" cm="1">
        <f t="array" ref="E254">_xlfn.XLOOKUP(1,(Лист2!$A$2:$A$505=A254)*(Лист2!$B$2:$B$505=B254),(Лист2!$C$2:$C$505))</f>
        <v>15</v>
      </c>
      <c r="F254" s="7" cm="1">
        <f t="array" ref="F254">_xlfn.XLOOKUP(1, (Лист2!$A$2:$A$505=A254)*(Лист2!$B$2:$B$505=B254), Лист2!$D$2:$D$505)</f>
        <v>624</v>
      </c>
      <c r="G254" s="7" cm="1">
        <f t="array" ref="G254">_xlfn.XLOOKUP(1, (Лист2!$A$2:$A$505=A254)*(Лист2!$B$2:$B$505=B254), Лист2!$E$2:$E$505)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5">
      <c r="A255" s="8">
        <v>43972</v>
      </c>
      <c r="B255" s="9" t="s">
        <v>19</v>
      </c>
      <c r="C255" s="9">
        <v>12135</v>
      </c>
      <c r="D255" s="9">
        <v>1103623.5</v>
      </c>
      <c r="E255" s="7" cm="1">
        <f t="array" ref="E255">_xlfn.XLOOKUP(1,(Лист2!$A$2:$A$505=A255)*(Лист2!$B$2:$B$505=B255),(Лист2!$C$2:$C$505))</f>
        <v>15</v>
      </c>
      <c r="F255" s="7" cm="1">
        <f t="array" ref="F255">_xlfn.XLOOKUP(1, (Лист2!$A$2:$A$505=A255)*(Лист2!$B$2:$B$505=B255), Лист2!$D$2:$D$505)</f>
        <v>749</v>
      </c>
      <c r="G255" s="7" cm="1">
        <f t="array" ref="G255">_xlfn.XLOOKUP(1, (Лист2!$A$2:$A$505=A255)*(Лист2!$B$2:$B$505=B255), Лист2!$E$2:$E$505)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5">
      <c r="A256" s="5">
        <v>43971</v>
      </c>
      <c r="B256" s="6" t="s">
        <v>19</v>
      </c>
      <c r="C256" s="6">
        <v>12630</v>
      </c>
      <c r="D256" s="6">
        <v>1104858</v>
      </c>
      <c r="E256" s="7" cm="1">
        <f t="array" ref="E256">_xlfn.XLOOKUP(1,(Лист2!$A$2:$A$505=A256)*(Лист2!$B$2:$B$505=B256),(Лист2!$C$2:$C$505))</f>
        <v>15</v>
      </c>
      <c r="F256" s="7" cm="1">
        <f t="array" ref="F256">_xlfn.XLOOKUP(1, (Лист2!$A$2:$A$505=A256)*(Лист2!$B$2:$B$505=B256), Лист2!$D$2:$D$505)</f>
        <v>760</v>
      </c>
      <c r="G256" s="7" cm="1">
        <f t="array" ref="G256">_xlfn.XLOOKUP(1, (Лист2!$A$2:$A$505=A256)*(Лист2!$B$2:$B$505=B256), Лист2!$E$2:$E$505)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5">
      <c r="A257" s="8">
        <v>43956</v>
      </c>
      <c r="B257" s="9" t="s">
        <v>19</v>
      </c>
      <c r="C257" s="9">
        <v>8223</v>
      </c>
      <c r="D257" s="9">
        <v>694593</v>
      </c>
      <c r="E257" s="7" cm="1">
        <f t="array" ref="E257">_xlfn.XLOOKUP(1,(Лист2!$A$2:$A$505=A257)*(Лист2!$B$2:$B$505=B257),(Лист2!$C$2:$C$505))</f>
        <v>15</v>
      </c>
      <c r="F257" s="7" cm="1">
        <f t="array" ref="F257">_xlfn.XLOOKUP(1, (Лист2!$A$2:$A$505=A257)*(Лист2!$B$2:$B$505=B257), Лист2!$D$2:$D$505)</f>
        <v>455</v>
      </c>
      <c r="G257" s="7" cm="1">
        <f t="array" ref="G257">_xlfn.XLOOKUP(1, (Лист2!$A$2:$A$505=A257)*(Лист2!$B$2:$B$505=B257), Лист2!$E$2:$E$505)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5">
      <c r="A258" s="5">
        <v>43949</v>
      </c>
      <c r="B258" s="6" t="s">
        <v>20</v>
      </c>
      <c r="C258" s="6">
        <v>25149</v>
      </c>
      <c r="D258" s="6">
        <v>2277072</v>
      </c>
      <c r="E258" s="7" cm="1">
        <f t="array" ref="E258">_xlfn.XLOOKUP(1,(Лист2!$A$2:$A$505=A258)*(Лист2!$B$2:$B$505=B258),(Лист2!$C$2:$C$505))</f>
        <v>18</v>
      </c>
      <c r="F258" s="7" cm="1">
        <f t="array" ref="F258">_xlfn.XLOOKUP(1, (Лист2!$A$2:$A$505=A258)*(Лист2!$B$2:$B$505=B258), Лист2!$D$2:$D$505)</f>
        <v>1505</v>
      </c>
      <c r="G258" s="7" cm="1">
        <f t="array" ref="G258">_xlfn.XLOOKUP(1, (Лист2!$A$2:$A$505=A258)*(Лист2!$B$2:$B$505=B258), Лист2!$E$2:$E$505)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35">
      <c r="A259" s="8">
        <v>43964</v>
      </c>
      <c r="B259" s="9" t="s">
        <v>19</v>
      </c>
      <c r="C259" s="9">
        <v>10401</v>
      </c>
      <c r="D259" s="9">
        <v>949912.5</v>
      </c>
      <c r="E259" s="7" cm="1">
        <f t="array" ref="E259">_xlfn.XLOOKUP(1,(Лист2!$A$2:$A$505=A259)*(Лист2!$B$2:$B$505=B259),(Лист2!$C$2:$C$505))</f>
        <v>15</v>
      </c>
      <c r="F259" s="7" cm="1">
        <f t="array" ref="F259">_xlfn.XLOOKUP(1, (Лист2!$A$2:$A$505=A259)*(Лист2!$B$2:$B$505=B259), Лист2!$D$2:$D$505)</f>
        <v>599</v>
      </c>
      <c r="G259" s="7" cm="1">
        <f t="array" ref="G259">_xlfn.XLOOKUP(1, (Лист2!$A$2:$A$505=A259)*(Лист2!$B$2:$B$505=B259), Лист2!$E$2:$E$505)</f>
        <v>515</v>
      </c>
      <c r="H259">
        <f t="shared" ref="H259:H322" si="8">D259/E259</f>
        <v>63327.5</v>
      </c>
      <c r="I259">
        <f t="shared" ref="I259:I322" si="9">_xlfn.ISOWEEKNUM(A259)</f>
        <v>20</v>
      </c>
    </row>
    <row r="260" spans="1:9" ht="14.25" customHeight="1" x14ac:dyDescent="0.35">
      <c r="A260" s="5">
        <v>43982</v>
      </c>
      <c r="B260" s="6" t="s">
        <v>18</v>
      </c>
      <c r="C260" s="6">
        <v>17689.5</v>
      </c>
      <c r="D260" s="6">
        <v>1592119.5</v>
      </c>
      <c r="E260" s="7" cm="1">
        <f t="array" ref="E260">_xlfn.XLOOKUP(1,(Лист2!$A$2:$A$505=A260)*(Лист2!$B$2:$B$505=B260),(Лист2!$C$2:$C$505))</f>
        <v>17</v>
      </c>
      <c r="F260" s="7" cm="1">
        <f t="array" ref="F260">_xlfn.XLOOKUP(1, (Лист2!$A$2:$A$505=A260)*(Лист2!$B$2:$B$505=B260), Лист2!$D$2:$D$505)</f>
        <v>1186</v>
      </c>
      <c r="G260" s="7" cm="1">
        <f t="array" ref="G260">_xlfn.XLOOKUP(1, (Лист2!$A$2:$A$505=A260)*(Лист2!$B$2:$B$505=B260), Лист2!$E$2:$E$505)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35">
      <c r="A261" s="8">
        <v>43954</v>
      </c>
      <c r="B261" s="9" t="s">
        <v>19</v>
      </c>
      <c r="C261" s="9">
        <v>8127</v>
      </c>
      <c r="D261" s="9">
        <v>665302.5</v>
      </c>
      <c r="E261" s="7" cm="1">
        <f t="array" ref="E261">_xlfn.XLOOKUP(1,(Лист2!$A$2:$A$505=A261)*(Лист2!$B$2:$B$505=B261),(Лист2!$C$2:$C$505))</f>
        <v>15</v>
      </c>
      <c r="F261" s="7" cm="1">
        <f t="array" ref="F261">_xlfn.XLOOKUP(1, (Лист2!$A$2:$A$505=A261)*(Лист2!$B$2:$B$505=B261), Лист2!$D$2:$D$505)</f>
        <v>455</v>
      </c>
      <c r="G261" s="7" cm="1">
        <f t="array" ref="G261">_xlfn.XLOOKUP(1, (Лист2!$A$2:$A$505=A261)*(Лист2!$B$2:$B$505=B261), Лист2!$E$2:$E$505)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35">
      <c r="A262" s="5">
        <v>43981</v>
      </c>
      <c r="B262" s="6" t="s">
        <v>18</v>
      </c>
      <c r="C262" s="6">
        <v>27250.5</v>
      </c>
      <c r="D262" s="6">
        <v>2457252</v>
      </c>
      <c r="E262" s="7" cm="1">
        <f t="array" ref="E262">_xlfn.XLOOKUP(1,(Лист2!$A$2:$A$505=A262)*(Лист2!$B$2:$B$505=B262),(Лист2!$C$2:$C$505))</f>
        <v>17</v>
      </c>
      <c r="F262" s="7" cm="1">
        <f t="array" ref="F262">_xlfn.XLOOKUP(1, (Лист2!$A$2:$A$505=A262)*(Лист2!$B$2:$B$505=B262), Лист2!$D$2:$D$505)</f>
        <v>1697</v>
      </c>
      <c r="G262" s="7" cm="1">
        <f t="array" ref="G262">_xlfn.XLOOKUP(1, (Лист2!$A$2:$A$505=A262)*(Лист2!$B$2:$B$505=B262), Лист2!$E$2:$E$505)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5">
      <c r="A263" s="8">
        <v>43957</v>
      </c>
      <c r="B263" s="9" t="s">
        <v>19</v>
      </c>
      <c r="C263" s="9">
        <v>8464.5</v>
      </c>
      <c r="D263" s="9">
        <v>739291.5</v>
      </c>
      <c r="E263" s="7" cm="1">
        <f t="array" ref="E263">_xlfn.XLOOKUP(1,(Лист2!$A$2:$A$505=A263)*(Лист2!$B$2:$B$505=B263),(Лист2!$C$2:$C$505))</f>
        <v>15</v>
      </c>
      <c r="F263" s="7" cm="1">
        <f t="array" ref="F263">_xlfn.XLOOKUP(1, (Лист2!$A$2:$A$505=A263)*(Лист2!$B$2:$B$505=B263), Лист2!$D$2:$D$505)</f>
        <v>467</v>
      </c>
      <c r="G263" s="7" cm="1">
        <f t="array" ref="G263">_xlfn.XLOOKUP(1, (Лист2!$A$2:$A$505=A263)*(Лист2!$B$2:$B$505=B263), Лист2!$E$2:$E$505)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5">
      <c r="A264" s="5">
        <v>43974</v>
      </c>
      <c r="B264" s="6" t="s">
        <v>19</v>
      </c>
      <c r="C264" s="6">
        <v>14167.5</v>
      </c>
      <c r="D264" s="6">
        <v>1315075.5</v>
      </c>
      <c r="E264" s="7" cm="1">
        <f t="array" ref="E264">_xlfn.XLOOKUP(1,(Лист2!$A$2:$A$505=A264)*(Лист2!$B$2:$B$505=B264),(Лист2!$C$2:$C$505))</f>
        <v>15</v>
      </c>
      <c r="F264" s="7" cm="1">
        <f t="array" ref="F264">_xlfn.XLOOKUP(1, (Лист2!$A$2:$A$505=A264)*(Лист2!$B$2:$B$505=B264), Лист2!$D$2:$D$505)</f>
        <v>840</v>
      </c>
      <c r="G264" s="7" cm="1">
        <f t="array" ref="G264">_xlfn.XLOOKUP(1, (Лист2!$A$2:$A$505=A264)*(Лист2!$B$2:$B$505=B264), Лист2!$E$2:$E$505)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5">
      <c r="A265" s="8">
        <v>43979</v>
      </c>
      <c r="B265" s="9" t="s">
        <v>18</v>
      </c>
      <c r="C265" s="9">
        <v>16500</v>
      </c>
      <c r="D265" s="9">
        <v>1487928</v>
      </c>
      <c r="E265" s="7" cm="1">
        <f t="array" ref="E265">_xlfn.XLOOKUP(1,(Лист2!$A$2:$A$505=A265)*(Лист2!$B$2:$B$505=B265),(Лист2!$C$2:$C$505))</f>
        <v>17</v>
      </c>
      <c r="F265" s="7" cm="1">
        <f t="array" ref="F265">_xlfn.XLOOKUP(1, (Лист2!$A$2:$A$505=A265)*(Лист2!$B$2:$B$505=B265), Лист2!$D$2:$D$505)</f>
        <v>1097</v>
      </c>
      <c r="G265" s="7" cm="1">
        <f t="array" ref="G265">_xlfn.XLOOKUP(1, (Лист2!$A$2:$A$505=A265)*(Лист2!$B$2:$B$505=B265), Лист2!$E$2:$E$505)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5">
      <c r="A266" s="5">
        <v>43976</v>
      </c>
      <c r="B266" s="6" t="s">
        <v>19</v>
      </c>
      <c r="C266" s="6">
        <v>13260</v>
      </c>
      <c r="D266" s="6">
        <v>1230687</v>
      </c>
      <c r="E266" s="7" cm="1">
        <f t="array" ref="E266">_xlfn.XLOOKUP(1,(Лист2!$A$2:$A$505=A266)*(Лист2!$B$2:$B$505=B266),(Лист2!$C$2:$C$505))</f>
        <v>15</v>
      </c>
      <c r="F266" s="7" cm="1">
        <f t="array" ref="F266">_xlfn.XLOOKUP(1, (Лист2!$A$2:$A$505=A266)*(Лист2!$B$2:$B$505=B266), Лист2!$D$2:$D$505)</f>
        <v>835</v>
      </c>
      <c r="G266" s="7" cm="1">
        <f t="array" ref="G266">_xlfn.XLOOKUP(1, (Лист2!$A$2:$A$505=A266)*(Лист2!$B$2:$B$505=B266), Лист2!$E$2:$E$505)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5">
      <c r="A267" s="8">
        <v>43951</v>
      </c>
      <c r="B267" s="9" t="s">
        <v>19</v>
      </c>
      <c r="C267" s="9">
        <v>4285.5</v>
      </c>
      <c r="D267" s="9">
        <v>404691</v>
      </c>
      <c r="E267" s="7" cm="1">
        <f t="array" ref="E267">_xlfn.XLOOKUP(1,(Лист2!$A$2:$A$505=A267)*(Лист2!$B$2:$B$505=B267),(Лист2!$C$2:$C$505))</f>
        <v>15</v>
      </c>
      <c r="F267" s="7" cm="1">
        <f t="array" ref="F267">_xlfn.XLOOKUP(1, (Лист2!$A$2:$A$505=A267)*(Лист2!$B$2:$B$505=B267), Лист2!$D$2:$D$505)</f>
        <v>262</v>
      </c>
      <c r="G267" s="7" cm="1">
        <f t="array" ref="G267">_xlfn.XLOOKUP(1, (Лист2!$A$2:$A$505=A267)*(Лист2!$B$2:$B$505=B267), Лист2!$E$2:$E$505)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5">
      <c r="A268" s="5">
        <v>43961</v>
      </c>
      <c r="B268" s="6" t="s">
        <v>19</v>
      </c>
      <c r="C268" s="6">
        <v>13440</v>
      </c>
      <c r="D268" s="6">
        <v>1198285.5</v>
      </c>
      <c r="E268" s="7" cm="1">
        <f t="array" ref="E268">_xlfn.XLOOKUP(1,(Лист2!$A$2:$A$505=A268)*(Лист2!$B$2:$B$505=B268),(Лист2!$C$2:$C$505))</f>
        <v>15</v>
      </c>
      <c r="F268" s="7" cm="1">
        <f t="array" ref="F268">_xlfn.XLOOKUP(1, (Лист2!$A$2:$A$505=A268)*(Лист2!$B$2:$B$505=B268), Лист2!$D$2:$D$505)</f>
        <v>706</v>
      </c>
      <c r="G268" s="7" cm="1">
        <f t="array" ref="G268">_xlfn.XLOOKUP(1, (Лист2!$A$2:$A$505=A268)*(Лист2!$B$2:$B$505=B268), Лист2!$E$2:$E$505)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35">
      <c r="A269" s="8">
        <v>43959</v>
      </c>
      <c r="B269" s="9" t="s">
        <v>19</v>
      </c>
      <c r="C269" s="9">
        <v>9058.5</v>
      </c>
      <c r="D269" s="9">
        <v>798759</v>
      </c>
      <c r="E269" s="7" cm="1">
        <f t="array" ref="E269">_xlfn.XLOOKUP(1,(Лист2!$A$2:$A$505=A269)*(Лист2!$B$2:$B$505=B269),(Лист2!$C$2:$C$505))</f>
        <v>15</v>
      </c>
      <c r="F269" s="7" cm="1">
        <f t="array" ref="F269">_xlfn.XLOOKUP(1, (Лист2!$A$2:$A$505=A269)*(Лист2!$B$2:$B$505=B269), Лист2!$D$2:$D$505)</f>
        <v>492</v>
      </c>
      <c r="G269" s="7" cm="1">
        <f t="array" ref="G269">_xlfn.XLOOKUP(1, (Лист2!$A$2:$A$505=A269)*(Лист2!$B$2:$B$505=B269), Лист2!$E$2:$E$505)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5">
      <c r="A270" s="5">
        <v>43958</v>
      </c>
      <c r="B270" s="6" t="s">
        <v>19</v>
      </c>
      <c r="C270" s="6">
        <v>8719.5</v>
      </c>
      <c r="D270" s="6">
        <v>769276.5</v>
      </c>
      <c r="E270" s="7" cm="1">
        <f t="array" ref="E270">_xlfn.XLOOKUP(1,(Лист2!$A$2:$A$505=A270)*(Лист2!$B$2:$B$505=B270),(Лист2!$C$2:$C$505))</f>
        <v>15</v>
      </c>
      <c r="F270" s="7" cm="1">
        <f t="array" ref="F270">_xlfn.XLOOKUP(1, (Лист2!$A$2:$A$505=A270)*(Лист2!$B$2:$B$505=B270), Лист2!$D$2:$D$505)</f>
        <v>480</v>
      </c>
      <c r="G270" s="7" cm="1">
        <f t="array" ref="G270">_xlfn.XLOOKUP(1, (Лист2!$A$2:$A$505=A270)*(Лист2!$B$2:$B$505=B270), Лист2!$E$2:$E$505)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5">
      <c r="A271" s="8">
        <v>43975</v>
      </c>
      <c r="B271" s="9" t="s">
        <v>19</v>
      </c>
      <c r="C271" s="9">
        <v>12666</v>
      </c>
      <c r="D271" s="9">
        <v>1184865</v>
      </c>
      <c r="E271" s="7" cm="1">
        <f t="array" ref="E271">_xlfn.XLOOKUP(1,(Лист2!$A$2:$A$505=A271)*(Лист2!$B$2:$B$505=B271),(Лист2!$C$2:$C$505))</f>
        <v>15</v>
      </c>
      <c r="F271" s="7" cm="1">
        <f t="array" ref="F271">_xlfn.XLOOKUP(1, (Лист2!$A$2:$A$505=A271)*(Лист2!$B$2:$B$505=B271), Лист2!$D$2:$D$505)</f>
        <v>779</v>
      </c>
      <c r="G271" s="7" cm="1">
        <f t="array" ref="G271">_xlfn.XLOOKUP(1, (Лист2!$A$2:$A$505=A271)*(Лист2!$B$2:$B$505=B271), Лист2!$E$2:$E$505)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35">
      <c r="A272" s="5">
        <v>43967</v>
      </c>
      <c r="B272" s="6" t="s">
        <v>20</v>
      </c>
      <c r="C272" s="6">
        <v>34563</v>
      </c>
      <c r="D272" s="6">
        <v>2922883.5</v>
      </c>
      <c r="E272" s="7" cm="1">
        <f t="array" ref="E272">_xlfn.XLOOKUP(1,(Лист2!$A$2:$A$505=A272)*(Лист2!$B$2:$B$505=B272),(Лист2!$C$2:$C$505))</f>
        <v>19</v>
      </c>
      <c r="F272" s="7" cm="1">
        <f t="array" ref="F272">_xlfn.XLOOKUP(1, (Лист2!$A$2:$A$505=A272)*(Лист2!$B$2:$B$505=B272), Лист2!$D$2:$D$505)</f>
        <v>2039</v>
      </c>
      <c r="G272" s="7" cm="1">
        <f t="array" ref="G272">_xlfn.XLOOKUP(1, (Лист2!$A$2:$A$505=A272)*(Лист2!$B$2:$B$505=B272), Лист2!$E$2:$E$505)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5">
      <c r="A273" s="8">
        <v>43970</v>
      </c>
      <c r="B273" s="9" t="s">
        <v>20</v>
      </c>
      <c r="C273" s="9">
        <v>28882.5</v>
      </c>
      <c r="D273" s="9">
        <v>2446530</v>
      </c>
      <c r="E273" s="7" cm="1">
        <f t="array" ref="E273">_xlfn.XLOOKUP(1,(Лист2!$A$2:$A$505=A273)*(Лист2!$B$2:$B$505=B273),(Лист2!$C$2:$C$505))</f>
        <v>19</v>
      </c>
      <c r="F273" s="7" cm="1">
        <f t="array" ref="F273">_xlfn.XLOOKUP(1, (Лист2!$A$2:$A$505=A273)*(Лист2!$B$2:$B$505=B273), Лист2!$D$2:$D$505)</f>
        <v>1831</v>
      </c>
      <c r="G273" s="7" cm="1">
        <f t="array" ref="G273">_xlfn.XLOOKUP(1, (Лист2!$A$2:$A$505=A273)*(Лист2!$B$2:$B$505=B273), Лист2!$E$2:$E$505)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5">
      <c r="A274" s="5">
        <v>43968</v>
      </c>
      <c r="B274" s="6" t="s">
        <v>20</v>
      </c>
      <c r="C274" s="6">
        <v>28275</v>
      </c>
      <c r="D274" s="6">
        <v>2435632.5</v>
      </c>
      <c r="E274" s="7" cm="1">
        <f t="array" ref="E274">_xlfn.XLOOKUP(1,(Лист2!$A$2:$A$505=A274)*(Лист2!$B$2:$B$505=B274),(Лист2!$C$2:$C$505))</f>
        <v>19</v>
      </c>
      <c r="F274" s="7" cm="1">
        <f t="array" ref="F274">_xlfn.XLOOKUP(1, (Лист2!$A$2:$A$505=A274)*(Лист2!$B$2:$B$505=B274), Лист2!$D$2:$D$505)</f>
        <v>1790</v>
      </c>
      <c r="G274" s="7" cm="1">
        <f t="array" ref="G274">_xlfn.XLOOKUP(1, (Лист2!$A$2:$A$505=A274)*(Лист2!$B$2:$B$505=B274), Лист2!$E$2:$E$505)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35">
      <c r="A275" s="8">
        <v>43960</v>
      </c>
      <c r="B275" s="9" t="s">
        <v>20</v>
      </c>
      <c r="C275" s="9">
        <v>26271</v>
      </c>
      <c r="D275" s="9">
        <v>2384937</v>
      </c>
      <c r="E275" s="7" cm="1">
        <f t="array" ref="E275">_xlfn.XLOOKUP(1,(Лист2!$A$2:$A$505=A275)*(Лист2!$B$2:$B$505=B275),(Лист2!$C$2:$C$505))</f>
        <v>19</v>
      </c>
      <c r="F275" s="7" cm="1">
        <f t="array" ref="F275">_xlfn.XLOOKUP(1, (Лист2!$A$2:$A$505=A275)*(Лист2!$B$2:$B$505=B275), Лист2!$D$2:$D$505)</f>
        <v>1542</v>
      </c>
      <c r="G275" s="7" cm="1">
        <f t="array" ref="G275">_xlfn.XLOOKUP(1, (Лист2!$A$2:$A$505=A275)*(Лист2!$B$2:$B$505=B275), Лист2!$E$2:$E$505)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5">
      <c r="A276" s="5">
        <v>43955</v>
      </c>
      <c r="B276" s="6" t="s">
        <v>20</v>
      </c>
      <c r="C276" s="6">
        <v>23587.5</v>
      </c>
      <c r="D276" s="6">
        <v>2155668</v>
      </c>
      <c r="E276" s="7" cm="1">
        <f t="array" ref="E276">_xlfn.XLOOKUP(1,(Лист2!$A$2:$A$505=A276)*(Лист2!$B$2:$B$505=B276),(Лист2!$C$2:$C$505))</f>
        <v>19</v>
      </c>
      <c r="F276" s="7" cm="1">
        <f t="array" ref="F276">_xlfn.XLOOKUP(1, (Лист2!$A$2:$A$505=A276)*(Лист2!$B$2:$B$505=B276), Лист2!$D$2:$D$505)</f>
        <v>1479</v>
      </c>
      <c r="G276" s="7" cm="1">
        <f t="array" ref="G276">_xlfn.XLOOKUP(1, (Лист2!$A$2:$A$505=A276)*(Лист2!$B$2:$B$505=B276), Лист2!$E$2:$E$505)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5">
      <c r="A277" s="8">
        <v>43953</v>
      </c>
      <c r="B277" s="9" t="s">
        <v>20</v>
      </c>
      <c r="C277" s="9">
        <v>18427.5</v>
      </c>
      <c r="D277" s="9">
        <v>1682851.5</v>
      </c>
      <c r="E277" s="7" cm="1">
        <f t="array" ref="E277">_xlfn.XLOOKUP(1,(Лист2!$A$2:$A$505=A277)*(Лист2!$B$2:$B$505=B277),(Лист2!$C$2:$C$505))</f>
        <v>19</v>
      </c>
      <c r="F277" s="7" cm="1">
        <f t="array" ref="F277">_xlfn.XLOOKUP(1, (Лист2!$A$2:$A$505=A277)*(Лист2!$B$2:$B$505=B277), Лист2!$D$2:$D$505)</f>
        <v>1206</v>
      </c>
      <c r="G277" s="7" cm="1">
        <f t="array" ref="G277">_xlfn.XLOOKUP(1, (Лист2!$A$2:$A$505=A277)*(Лист2!$B$2:$B$505=B277), Лист2!$E$2:$E$505)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5">
      <c r="A278" s="5">
        <v>43977</v>
      </c>
      <c r="B278" s="6" t="s">
        <v>20</v>
      </c>
      <c r="C278" s="6">
        <v>27156</v>
      </c>
      <c r="D278" s="6">
        <v>2410803</v>
      </c>
      <c r="E278" s="7" cm="1">
        <f t="array" ref="E278">_xlfn.XLOOKUP(1,(Лист2!$A$2:$A$505=A278)*(Лист2!$B$2:$B$505=B278),(Лист2!$C$2:$C$505))</f>
        <v>20</v>
      </c>
      <c r="F278" s="7" cm="1">
        <f t="array" ref="F278">_xlfn.XLOOKUP(1, (Лист2!$A$2:$A$505=A278)*(Лист2!$B$2:$B$505=B278), Лист2!$D$2:$D$505)</f>
        <v>1814</v>
      </c>
      <c r="G278" s="7" cm="1">
        <f t="array" ref="G278">_xlfn.XLOOKUP(1, (Лист2!$A$2:$A$505=A278)*(Лист2!$B$2:$B$505=B278), Лист2!$E$2:$E$505)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5">
      <c r="A279" s="8">
        <v>43952</v>
      </c>
      <c r="B279" s="9" t="s">
        <v>20</v>
      </c>
      <c r="C279" s="9">
        <v>35190</v>
      </c>
      <c r="D279" s="9">
        <v>3168510</v>
      </c>
      <c r="E279" s="7" cm="1">
        <f t="array" ref="E279">_xlfn.XLOOKUP(1,(Лист2!$A$2:$A$505=A279)*(Лист2!$B$2:$B$505=B279),(Лист2!$C$2:$C$505))</f>
        <v>19</v>
      </c>
      <c r="F279" s="7" cm="1">
        <f t="array" ref="F279">_xlfn.XLOOKUP(1, (Лист2!$A$2:$A$505=A279)*(Лист2!$B$2:$B$505=B279), Лист2!$D$2:$D$505)</f>
        <v>1987</v>
      </c>
      <c r="G279" s="7" cm="1">
        <f t="array" ref="G279">_xlfn.XLOOKUP(1, (Лист2!$A$2:$A$505=A279)*(Лист2!$B$2:$B$505=B279), Лист2!$E$2:$E$505)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5">
      <c r="A280" s="5">
        <v>43963</v>
      </c>
      <c r="B280" s="6" t="s">
        <v>20</v>
      </c>
      <c r="C280" s="6">
        <v>25483.5</v>
      </c>
      <c r="D280" s="6">
        <v>2243160</v>
      </c>
      <c r="E280" s="7" cm="1">
        <f t="array" ref="E280">_xlfn.XLOOKUP(1,(Лист2!$A$2:$A$505=A280)*(Лист2!$B$2:$B$505=B280),(Лист2!$C$2:$C$505))</f>
        <v>19</v>
      </c>
      <c r="F280" s="7" cm="1">
        <f t="array" ref="F280">_xlfn.XLOOKUP(1, (Лист2!$A$2:$A$505=A280)*(Лист2!$B$2:$B$505=B280), Лист2!$D$2:$D$505)</f>
        <v>1598</v>
      </c>
      <c r="G280" s="7" cm="1">
        <f t="array" ref="G280">_xlfn.XLOOKUP(1, (Лист2!$A$2:$A$505=A280)*(Лист2!$B$2:$B$505=B280), Лист2!$E$2:$E$505)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5">
      <c r="A281" s="8">
        <v>43972</v>
      </c>
      <c r="B281" s="9" t="s">
        <v>20</v>
      </c>
      <c r="C281" s="9">
        <v>25362</v>
      </c>
      <c r="D281" s="9">
        <v>2198935.5</v>
      </c>
      <c r="E281" s="7" cm="1">
        <f t="array" ref="E281">_xlfn.XLOOKUP(1,(Лист2!$A$2:$A$505=A281)*(Лист2!$B$2:$B$505=B281),(Лист2!$C$2:$C$505))</f>
        <v>19</v>
      </c>
      <c r="F281" s="7" cm="1">
        <f t="array" ref="F281">_xlfn.XLOOKUP(1, (Лист2!$A$2:$A$505=A281)*(Лист2!$B$2:$B$505=B281), Лист2!$D$2:$D$505)</f>
        <v>1650</v>
      </c>
      <c r="G281" s="7" cm="1">
        <f t="array" ref="G281">_xlfn.XLOOKUP(1, (Лист2!$A$2:$A$505=A281)*(Лист2!$B$2:$B$505=B281), Лист2!$E$2:$E$505)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5">
      <c r="A282" s="5">
        <v>43971</v>
      </c>
      <c r="B282" s="6" t="s">
        <v>20</v>
      </c>
      <c r="C282" s="6">
        <v>28849.5</v>
      </c>
      <c r="D282" s="6">
        <v>2520759</v>
      </c>
      <c r="E282" s="7" cm="1">
        <f t="array" ref="E282">_xlfn.XLOOKUP(1,(Лист2!$A$2:$A$505=A282)*(Лист2!$B$2:$B$505=B282),(Лист2!$C$2:$C$505))</f>
        <v>19</v>
      </c>
      <c r="F282" s="7" cm="1">
        <f t="array" ref="F282">_xlfn.XLOOKUP(1, (Лист2!$A$2:$A$505=A282)*(Лист2!$B$2:$B$505=B282), Лист2!$D$2:$D$505)</f>
        <v>1823</v>
      </c>
      <c r="G282" s="7" cm="1">
        <f t="array" ref="G282">_xlfn.XLOOKUP(1, (Лист2!$A$2:$A$505=A282)*(Лист2!$B$2:$B$505=B282), Лист2!$E$2:$E$505)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5">
      <c r="A283" s="8">
        <v>43956</v>
      </c>
      <c r="B283" s="9" t="s">
        <v>20</v>
      </c>
      <c r="C283" s="9">
        <v>26367</v>
      </c>
      <c r="D283" s="9">
        <v>2380333.5</v>
      </c>
      <c r="E283" s="7" cm="1">
        <f t="array" ref="E283">_xlfn.XLOOKUP(1,(Лист2!$A$2:$A$505=A283)*(Лист2!$B$2:$B$505=B283),(Лист2!$C$2:$C$505))</f>
        <v>19</v>
      </c>
      <c r="F283" s="7" cm="1">
        <f t="array" ref="F283">_xlfn.XLOOKUP(1, (Лист2!$A$2:$A$505=A283)*(Лист2!$B$2:$B$505=B283), Лист2!$D$2:$D$505)</f>
        <v>1622</v>
      </c>
      <c r="G283" s="7" cm="1">
        <f t="array" ref="G283">_xlfn.XLOOKUP(1, (Лист2!$A$2:$A$505=A283)*(Лист2!$B$2:$B$505=B283), Лист2!$E$2:$E$505)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5">
      <c r="A284" s="5">
        <v>43964</v>
      </c>
      <c r="B284" s="6" t="s">
        <v>20</v>
      </c>
      <c r="C284" s="6">
        <v>25539</v>
      </c>
      <c r="D284" s="6">
        <v>2263651.5</v>
      </c>
      <c r="E284" s="7" cm="1">
        <f t="array" ref="E284">_xlfn.XLOOKUP(1,(Лист2!$A$2:$A$505=A284)*(Лист2!$B$2:$B$505=B284),(Лист2!$C$2:$C$505))</f>
        <v>19</v>
      </c>
      <c r="F284" s="7" cm="1">
        <f t="array" ref="F284">_xlfn.XLOOKUP(1, (Лист2!$A$2:$A$505=A284)*(Лист2!$B$2:$B$505=B284), Лист2!$D$2:$D$505)</f>
        <v>1605</v>
      </c>
      <c r="G284" s="7" cm="1">
        <f t="array" ref="G284">_xlfn.XLOOKUP(1, (Лист2!$A$2:$A$505=A284)*(Лист2!$B$2:$B$505=B284), Лист2!$E$2:$E$505)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5">
      <c r="A285" s="8">
        <v>43982</v>
      </c>
      <c r="B285" s="9" t="s">
        <v>19</v>
      </c>
      <c r="C285" s="9">
        <v>14808</v>
      </c>
      <c r="D285" s="9">
        <v>1336789.5</v>
      </c>
      <c r="E285" s="7" cm="1">
        <f t="array" ref="E285">_xlfn.XLOOKUP(1,(Лист2!$A$2:$A$505=A285)*(Лист2!$B$2:$B$505=B285),(Лист2!$C$2:$C$505))</f>
        <v>16</v>
      </c>
      <c r="F285" s="7" cm="1">
        <f t="array" ref="F285">_xlfn.XLOOKUP(1, (Лист2!$A$2:$A$505=A285)*(Лист2!$B$2:$B$505=B285), Лист2!$D$2:$D$505)</f>
        <v>917</v>
      </c>
      <c r="G285" s="7" cm="1">
        <f t="array" ref="G285">_xlfn.XLOOKUP(1, (Лист2!$A$2:$A$505=A285)*(Лист2!$B$2:$B$505=B285), Лист2!$E$2:$E$505)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35">
      <c r="A286" s="5">
        <v>43954</v>
      </c>
      <c r="B286" s="6" t="s">
        <v>20</v>
      </c>
      <c r="C286" s="6">
        <v>21343.5</v>
      </c>
      <c r="D286" s="6">
        <v>1906557</v>
      </c>
      <c r="E286" s="7" cm="1">
        <f t="array" ref="E286">_xlfn.XLOOKUP(1,(Лист2!$A$2:$A$505=A286)*(Лист2!$B$2:$B$505=B286),(Лист2!$C$2:$C$505))</f>
        <v>19</v>
      </c>
      <c r="F286" s="7" cm="1">
        <f t="array" ref="F286">_xlfn.XLOOKUP(1, (Лист2!$A$2:$A$505=A286)*(Лист2!$B$2:$B$505=B286), Лист2!$D$2:$D$505)</f>
        <v>1314</v>
      </c>
      <c r="G286" s="7" cm="1">
        <f t="array" ref="G286">_xlfn.XLOOKUP(1, (Лист2!$A$2:$A$505=A286)*(Лист2!$B$2:$B$505=B286), Лист2!$E$2:$E$505)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35">
      <c r="A287" s="8">
        <v>43981</v>
      </c>
      <c r="B287" s="9" t="s">
        <v>19</v>
      </c>
      <c r="C287" s="9">
        <v>17946</v>
      </c>
      <c r="D287" s="9">
        <v>1609090.5</v>
      </c>
      <c r="E287" s="7" cm="1">
        <f t="array" ref="E287">_xlfn.XLOOKUP(1,(Лист2!$A$2:$A$505=A287)*(Лист2!$B$2:$B$505=B287),(Лист2!$C$2:$C$505))</f>
        <v>16</v>
      </c>
      <c r="F287" s="7" cm="1">
        <f t="array" ref="F287">_xlfn.XLOOKUP(1, (Лист2!$A$2:$A$505=A287)*(Лист2!$B$2:$B$505=B287), Лист2!$D$2:$D$505)</f>
        <v>1048</v>
      </c>
      <c r="G287" s="7" cm="1">
        <f t="array" ref="G287">_xlfn.XLOOKUP(1, (Лист2!$A$2:$A$505=A287)*(Лист2!$B$2:$B$505=B287), Лист2!$E$2:$E$505)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5">
      <c r="A288" s="5">
        <v>43957</v>
      </c>
      <c r="B288" s="6" t="s">
        <v>20</v>
      </c>
      <c r="C288" s="6">
        <v>24337.5</v>
      </c>
      <c r="D288" s="6">
        <v>2159350.5</v>
      </c>
      <c r="E288" s="7" cm="1">
        <f t="array" ref="E288">_xlfn.XLOOKUP(1,(Лист2!$A$2:$A$505=A288)*(Лист2!$B$2:$B$505=B288),(Лист2!$C$2:$C$505))</f>
        <v>19</v>
      </c>
      <c r="F288" s="7" cm="1">
        <f t="array" ref="F288">_xlfn.XLOOKUP(1, (Лист2!$A$2:$A$505=A288)*(Лист2!$B$2:$B$505=B288), Лист2!$D$2:$D$505)</f>
        <v>1509</v>
      </c>
      <c r="G288" s="7" cm="1">
        <f t="array" ref="G288">_xlfn.XLOOKUP(1, (Лист2!$A$2:$A$505=A288)*(Лист2!$B$2:$B$505=B288), Лист2!$E$2:$E$505)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5">
      <c r="A289" s="8">
        <v>43974</v>
      </c>
      <c r="B289" s="9" t="s">
        <v>20</v>
      </c>
      <c r="C289" s="9">
        <v>36997.5</v>
      </c>
      <c r="D289" s="9">
        <v>3089140.5</v>
      </c>
      <c r="E289" s="7" cm="1">
        <f t="array" ref="E289">_xlfn.XLOOKUP(1,(Лист2!$A$2:$A$505=A289)*(Лист2!$B$2:$B$505=B289),(Лист2!$C$2:$C$505))</f>
        <v>19</v>
      </c>
      <c r="F289" s="7" cm="1">
        <f t="array" ref="F289">_xlfn.XLOOKUP(1, (Лист2!$A$2:$A$505=A289)*(Лист2!$B$2:$B$505=B289), Лист2!$D$2:$D$505)</f>
        <v>2195</v>
      </c>
      <c r="G289" s="7" cm="1">
        <f t="array" ref="G289">_xlfn.XLOOKUP(1, (Лист2!$A$2:$A$505=A289)*(Лист2!$B$2:$B$505=B289), Лист2!$E$2:$E$505)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5">
      <c r="A290" s="5">
        <v>43979</v>
      </c>
      <c r="B290" s="6" t="s">
        <v>19</v>
      </c>
      <c r="C290" s="6">
        <v>13864.5</v>
      </c>
      <c r="D290" s="6">
        <v>1239747</v>
      </c>
      <c r="E290" s="7" cm="1">
        <f t="array" ref="E290">_xlfn.XLOOKUP(1,(Лист2!$A$2:$A$505=A290)*(Лист2!$B$2:$B$505=B290),(Лист2!$C$2:$C$505))</f>
        <v>16</v>
      </c>
      <c r="F290" s="7" cm="1">
        <f t="array" ref="F290">_xlfn.XLOOKUP(1, (Лист2!$A$2:$A$505=A290)*(Лист2!$B$2:$B$505=B290), Лист2!$D$2:$D$505)</f>
        <v>876</v>
      </c>
      <c r="G290" s="7" cm="1">
        <f t="array" ref="G290">_xlfn.XLOOKUP(1, (Лист2!$A$2:$A$505=A290)*(Лист2!$B$2:$B$505=B290), Лист2!$E$2:$E$505)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5">
      <c r="A291" s="8">
        <v>43976</v>
      </c>
      <c r="B291" s="9" t="s">
        <v>20</v>
      </c>
      <c r="C291" s="9">
        <v>28494</v>
      </c>
      <c r="D291" s="9">
        <v>2512803</v>
      </c>
      <c r="E291" s="7" cm="1">
        <f t="array" ref="E291">_xlfn.XLOOKUP(1,(Лист2!$A$2:$A$505=A291)*(Лист2!$B$2:$B$505=B291),(Лист2!$C$2:$C$505))</f>
        <v>20</v>
      </c>
      <c r="F291" s="7" cm="1">
        <f t="array" ref="F291">_xlfn.XLOOKUP(1, (Лист2!$A$2:$A$505=A291)*(Лист2!$B$2:$B$505=B291), Лист2!$D$2:$D$505)</f>
        <v>1899</v>
      </c>
      <c r="G291" s="7" cm="1">
        <f t="array" ref="G291">_xlfn.XLOOKUP(1, (Лист2!$A$2:$A$505=A291)*(Лист2!$B$2:$B$505=B291), Лист2!$E$2:$E$505)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5">
      <c r="A292" s="5">
        <v>43951</v>
      </c>
      <c r="B292" s="6" t="s">
        <v>20</v>
      </c>
      <c r="C292" s="6">
        <v>27883.5</v>
      </c>
      <c r="D292" s="6">
        <v>2560080</v>
      </c>
      <c r="E292" s="7" cm="1">
        <f t="array" ref="E292">_xlfn.XLOOKUP(1,(Лист2!$A$2:$A$505=A292)*(Лист2!$B$2:$B$505=B292),(Лист2!$C$2:$C$505))</f>
        <v>19</v>
      </c>
      <c r="F292" s="7" cm="1">
        <f t="array" ref="F292">_xlfn.XLOOKUP(1, (Лист2!$A$2:$A$505=A292)*(Лист2!$B$2:$B$505=B292), Лист2!$D$2:$D$505)</f>
        <v>1662</v>
      </c>
      <c r="G292" s="7" cm="1">
        <f t="array" ref="G292">_xlfn.XLOOKUP(1, (Лист2!$A$2:$A$505=A292)*(Лист2!$B$2:$B$505=B292), Лист2!$E$2:$E$505)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5">
      <c r="A293" s="8">
        <v>43961</v>
      </c>
      <c r="B293" s="9" t="s">
        <v>20</v>
      </c>
      <c r="C293" s="9">
        <v>31224</v>
      </c>
      <c r="D293" s="9">
        <v>2767270.5</v>
      </c>
      <c r="E293" s="7" cm="1">
        <f t="array" ref="E293">_xlfn.XLOOKUP(1,(Лист2!$A$2:$A$505=A293)*(Лист2!$B$2:$B$505=B293),(Лист2!$C$2:$C$505))</f>
        <v>19</v>
      </c>
      <c r="F293" s="7" cm="1">
        <f t="array" ref="F293">_xlfn.XLOOKUP(1, (Лист2!$A$2:$A$505=A293)*(Лист2!$B$2:$B$505=B293), Лист2!$D$2:$D$505)</f>
        <v>1836</v>
      </c>
      <c r="G293" s="7" cm="1">
        <f t="array" ref="G293">_xlfn.XLOOKUP(1, (Лист2!$A$2:$A$505=A293)*(Лист2!$B$2:$B$505=B293), Лист2!$E$2:$E$505)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35">
      <c r="A294" s="5">
        <v>43959</v>
      </c>
      <c r="B294" s="6" t="s">
        <v>20</v>
      </c>
      <c r="C294" s="6">
        <v>25020</v>
      </c>
      <c r="D294" s="6">
        <v>2235960</v>
      </c>
      <c r="E294" s="7" cm="1">
        <f t="array" ref="E294">_xlfn.XLOOKUP(1,(Лист2!$A$2:$A$505=A294)*(Лист2!$B$2:$B$505=B294),(Лист2!$C$2:$C$505))</f>
        <v>19</v>
      </c>
      <c r="F294" s="7" cm="1">
        <f t="array" ref="F294">_xlfn.XLOOKUP(1, (Лист2!$A$2:$A$505=A294)*(Лист2!$B$2:$B$505=B294), Лист2!$D$2:$D$505)</f>
        <v>1520</v>
      </c>
      <c r="G294" s="7" cm="1">
        <f t="array" ref="G294">_xlfn.XLOOKUP(1, (Лист2!$A$2:$A$505=A294)*(Лист2!$B$2:$B$505=B294), Лист2!$E$2:$E$505)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5">
      <c r="A295" s="8">
        <v>43958</v>
      </c>
      <c r="B295" s="9" t="s">
        <v>20</v>
      </c>
      <c r="C295" s="9">
        <v>26184</v>
      </c>
      <c r="D295" s="9">
        <v>2308336.5</v>
      </c>
      <c r="E295" s="7" cm="1">
        <f t="array" ref="E295">_xlfn.XLOOKUP(1,(Лист2!$A$2:$A$505=A295)*(Лист2!$B$2:$B$505=B295),(Лист2!$C$2:$C$505))</f>
        <v>19</v>
      </c>
      <c r="F295" s="7" cm="1">
        <f t="array" ref="F295">_xlfn.XLOOKUP(1, (Лист2!$A$2:$A$505=A295)*(Лист2!$B$2:$B$505=B295), Лист2!$D$2:$D$505)</f>
        <v>1580</v>
      </c>
      <c r="G295" s="7" cm="1">
        <f t="array" ref="G295">_xlfn.XLOOKUP(1, (Лист2!$A$2:$A$505=A295)*(Лист2!$B$2:$B$505=B295), Лист2!$E$2:$E$505)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5">
      <c r="A296" s="5">
        <v>43975</v>
      </c>
      <c r="B296" s="6" t="s">
        <v>20</v>
      </c>
      <c r="C296" s="6">
        <v>29824.5</v>
      </c>
      <c r="D296" s="6">
        <v>2526909</v>
      </c>
      <c r="E296" s="7" cm="1">
        <f t="array" ref="E296">_xlfn.XLOOKUP(1,(Лист2!$A$2:$A$505=A296)*(Лист2!$B$2:$B$505=B296),(Лист2!$C$2:$C$505))</f>
        <v>19</v>
      </c>
      <c r="F296" s="7" cm="1">
        <f t="array" ref="F296">_xlfn.XLOOKUP(1, (Лист2!$A$2:$A$505=A296)*(Лист2!$B$2:$B$505=B296), Лист2!$D$2:$D$505)</f>
        <v>1868</v>
      </c>
      <c r="G296" s="7" cm="1">
        <f t="array" ref="G296">_xlfn.XLOOKUP(1, (Лист2!$A$2:$A$505=A296)*(Лист2!$B$2:$B$505=B296), Лист2!$E$2:$E$505)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35">
      <c r="A297" s="8">
        <v>43950</v>
      </c>
      <c r="B297" s="9" t="s">
        <v>21</v>
      </c>
      <c r="C297" s="9">
        <v>208351.5</v>
      </c>
      <c r="D297" s="9">
        <v>21615333</v>
      </c>
      <c r="E297" s="7" cm="1">
        <f t="array" ref="E297">_xlfn.XLOOKUP(1,(Лист2!$A$2:$A$505=A297)*(Лист2!$B$2:$B$505=B297),(Лист2!$C$2:$C$505))</f>
        <v>59</v>
      </c>
      <c r="F297" s="7" cm="1">
        <f t="array" ref="F297">_xlfn.XLOOKUP(1, (Лист2!$A$2:$A$505=A297)*(Лист2!$B$2:$B$505=B297), Лист2!$D$2:$D$505)</f>
        <v>13186</v>
      </c>
      <c r="G297" s="7" cm="1">
        <f t="array" ref="G297">_xlfn.XLOOKUP(1, (Лист2!$A$2:$A$505=A297)*(Лист2!$B$2:$B$505=B297), Лист2!$E$2:$E$505)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5">
      <c r="A298" s="5">
        <v>43949</v>
      </c>
      <c r="B298" s="6" t="s">
        <v>21</v>
      </c>
      <c r="C298" s="6">
        <v>204637.5</v>
      </c>
      <c r="D298" s="6">
        <v>21114898.5</v>
      </c>
      <c r="E298" s="7" cm="1">
        <f t="array" ref="E298">_xlfn.XLOOKUP(1,(Лист2!$A$2:$A$505=A298)*(Лист2!$B$2:$B$505=B298),(Лист2!$C$2:$C$505))</f>
        <v>59</v>
      </c>
      <c r="F298" s="7" cm="1">
        <f t="array" ref="F298">_xlfn.XLOOKUP(1, (Лист2!$A$2:$A$505=A298)*(Лист2!$B$2:$B$505=B298), Лист2!$D$2:$D$505)</f>
        <v>12943</v>
      </c>
      <c r="G298" s="7" cm="1">
        <f t="array" ref="G298">_xlfn.XLOOKUP(1, (Лист2!$A$2:$A$505=A298)*(Лист2!$B$2:$B$505=B298), Лист2!$E$2:$E$505)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5">
      <c r="A299" s="8">
        <v>43982</v>
      </c>
      <c r="B299" s="9" t="s">
        <v>20</v>
      </c>
      <c r="C299" s="9">
        <v>31372.5</v>
      </c>
      <c r="D299" s="9">
        <v>2794324.5</v>
      </c>
      <c r="E299" s="7" cm="1">
        <f t="array" ref="E299">_xlfn.XLOOKUP(1,(Лист2!$A$2:$A$505=A299)*(Лист2!$B$2:$B$505=B299),(Лист2!$C$2:$C$505))</f>
        <v>21</v>
      </c>
      <c r="F299" s="7" cm="1">
        <f t="array" ref="F299">_xlfn.XLOOKUP(1, (Лист2!$A$2:$A$505=A299)*(Лист2!$B$2:$B$505=B299), Лист2!$D$2:$D$505)</f>
        <v>2056</v>
      </c>
      <c r="G299" s="7" cm="1">
        <f t="array" ref="G299">_xlfn.XLOOKUP(1, (Лист2!$A$2:$A$505=A299)*(Лист2!$B$2:$B$505=B299), Лист2!$E$2:$E$505)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35">
      <c r="A300" s="5">
        <v>43981</v>
      </c>
      <c r="B300" s="6" t="s">
        <v>20</v>
      </c>
      <c r="C300" s="6">
        <v>34681.5</v>
      </c>
      <c r="D300" s="6">
        <v>3005334</v>
      </c>
      <c r="E300" s="7" cm="1">
        <f t="array" ref="E300">_xlfn.XLOOKUP(1,(Лист2!$A$2:$A$505=A300)*(Лист2!$B$2:$B$505=B300),(Лист2!$C$2:$C$505))</f>
        <v>20</v>
      </c>
      <c r="F300" s="7" cm="1">
        <f t="array" ref="F300">_xlfn.XLOOKUP(1, (Лист2!$A$2:$A$505=A300)*(Лист2!$B$2:$B$505=B300), Лист2!$D$2:$D$505)</f>
        <v>2174</v>
      </c>
      <c r="G300" s="7" cm="1">
        <f t="array" ref="G300">_xlfn.XLOOKUP(1, (Лист2!$A$2:$A$505=A300)*(Лист2!$B$2:$B$505=B300), Лист2!$E$2:$E$505)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5">
      <c r="A301" s="8">
        <v>43979</v>
      </c>
      <c r="B301" s="9" t="s">
        <v>20</v>
      </c>
      <c r="C301" s="9">
        <v>28197</v>
      </c>
      <c r="D301" s="9">
        <v>2559211.5</v>
      </c>
      <c r="E301" s="7" cm="1">
        <f t="array" ref="E301">_xlfn.XLOOKUP(1,(Лист2!$A$2:$A$505=A301)*(Лист2!$B$2:$B$505=B301),(Лист2!$C$2:$C$505))</f>
        <v>20</v>
      </c>
      <c r="F301" s="7" cm="1">
        <f t="array" ref="F301">_xlfn.XLOOKUP(1, (Лист2!$A$2:$A$505=A301)*(Лист2!$B$2:$B$505=B301), Лист2!$D$2:$D$505)</f>
        <v>1875</v>
      </c>
      <c r="G301" s="7" cm="1">
        <f t="array" ref="G301">_xlfn.XLOOKUP(1, (Лист2!$A$2:$A$505=A301)*(Лист2!$B$2:$B$505=B301), Лист2!$E$2:$E$505)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5">
      <c r="A302" s="5">
        <v>43967</v>
      </c>
      <c r="B302" s="6" t="s">
        <v>21</v>
      </c>
      <c r="C302" s="6">
        <v>236551.5</v>
      </c>
      <c r="D302" s="6">
        <v>23689383</v>
      </c>
      <c r="E302" s="7" cm="1">
        <f t="array" ref="E302">_xlfn.XLOOKUP(1,(Лист2!$A$2:$A$505=A302)*(Лист2!$B$2:$B$505=B302),(Лист2!$C$2:$C$505))</f>
        <v>60</v>
      </c>
      <c r="F302" s="7" cm="1">
        <f t="array" ref="F302">_xlfn.XLOOKUP(1, (Лист2!$A$2:$A$505=A302)*(Лист2!$B$2:$B$505=B302), Лист2!$D$2:$D$505)</f>
        <v>14049</v>
      </c>
      <c r="G302" s="7" cm="1">
        <f t="array" ref="G302">_xlfn.XLOOKUP(1, (Лист2!$A$2:$A$505=A302)*(Лист2!$B$2:$B$505=B302), Лист2!$E$2:$E$505)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5">
      <c r="A303" s="8">
        <v>43970</v>
      </c>
      <c r="B303" s="9" t="s">
        <v>21</v>
      </c>
      <c r="C303" s="9">
        <v>223597.5</v>
      </c>
      <c r="D303" s="9">
        <v>21945858</v>
      </c>
      <c r="E303" s="7" cm="1">
        <f t="array" ref="E303">_xlfn.XLOOKUP(1,(Лист2!$A$2:$A$505=A303)*(Лист2!$B$2:$B$505=B303),(Лист2!$C$2:$C$505))</f>
        <v>60</v>
      </c>
      <c r="F303" s="7" cm="1">
        <f t="array" ref="F303">_xlfn.XLOOKUP(1, (Лист2!$A$2:$A$505=A303)*(Лист2!$B$2:$B$505=B303), Лист2!$D$2:$D$505)</f>
        <v>13867</v>
      </c>
      <c r="G303" s="7" cm="1">
        <f t="array" ref="G303">_xlfn.XLOOKUP(1, (Лист2!$A$2:$A$505=A303)*(Лист2!$B$2:$B$505=B303), Лист2!$E$2:$E$505)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5">
      <c r="A304" s="5">
        <v>43968</v>
      </c>
      <c r="B304" s="6" t="s">
        <v>21</v>
      </c>
      <c r="C304" s="6">
        <v>193363.5</v>
      </c>
      <c r="D304" s="6">
        <v>19546386</v>
      </c>
      <c r="E304" s="7" cm="1">
        <f t="array" ref="E304">_xlfn.XLOOKUP(1,(Лист2!$A$2:$A$505=A304)*(Лист2!$B$2:$B$505=B304),(Лист2!$C$2:$C$505))</f>
        <v>60</v>
      </c>
      <c r="F304" s="7" cm="1">
        <f t="array" ref="F304">_xlfn.XLOOKUP(1, (Лист2!$A$2:$A$505=A304)*(Лист2!$B$2:$B$505=B304), Лист2!$D$2:$D$505)</f>
        <v>11698</v>
      </c>
      <c r="G304" s="7" cm="1">
        <f t="array" ref="G304">_xlfn.XLOOKUP(1, (Лист2!$A$2:$A$505=A304)*(Лист2!$B$2:$B$505=B304), Лист2!$E$2:$E$505)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35">
      <c r="A305" s="8">
        <v>43960</v>
      </c>
      <c r="B305" s="9" t="s">
        <v>21</v>
      </c>
      <c r="C305" s="9">
        <v>188319</v>
      </c>
      <c r="D305" s="9">
        <v>19218631.5</v>
      </c>
      <c r="E305" s="7" cm="1">
        <f t="array" ref="E305">_xlfn.XLOOKUP(1,(Лист2!$A$2:$A$505=A305)*(Лист2!$B$2:$B$505=B305),(Лист2!$C$2:$C$505))</f>
        <v>59</v>
      </c>
      <c r="F305" s="7" cm="1">
        <f t="array" ref="F305">_xlfn.XLOOKUP(1, (Лист2!$A$2:$A$505=A305)*(Лист2!$B$2:$B$505=B305), Лист2!$D$2:$D$505)</f>
        <v>12016</v>
      </c>
      <c r="G305" s="7" cm="1">
        <f t="array" ref="G305">_xlfn.XLOOKUP(1, (Лист2!$A$2:$A$505=A305)*(Лист2!$B$2:$B$505=B305), Лист2!$E$2:$E$505)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5">
      <c r="A306" s="5">
        <v>43955</v>
      </c>
      <c r="B306" s="6" t="s">
        <v>21</v>
      </c>
      <c r="C306" s="6">
        <v>237544.5</v>
      </c>
      <c r="D306" s="6">
        <v>24292218</v>
      </c>
      <c r="E306" s="7" cm="1">
        <f t="array" ref="E306">_xlfn.XLOOKUP(1,(Лист2!$A$2:$A$505=A306)*(Лист2!$B$2:$B$505=B306),(Лист2!$C$2:$C$505))</f>
        <v>59</v>
      </c>
      <c r="F306" s="7" cm="1">
        <f t="array" ref="F306">_xlfn.XLOOKUP(1, (Лист2!$A$2:$A$505=A306)*(Лист2!$B$2:$B$505=B306), Лист2!$D$2:$D$505)</f>
        <v>14423</v>
      </c>
      <c r="G306" s="7" cm="1">
        <f t="array" ref="G306">_xlfn.XLOOKUP(1, (Лист2!$A$2:$A$505=A306)*(Лист2!$B$2:$B$505=B306), Лист2!$E$2:$E$505)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5">
      <c r="A307" s="8">
        <v>43950</v>
      </c>
      <c r="B307" s="9" t="s">
        <v>22</v>
      </c>
      <c r="C307" s="9">
        <v>203209.5</v>
      </c>
      <c r="D307" s="9">
        <v>20871391.5</v>
      </c>
      <c r="E307" s="7" cm="1">
        <f t="array" ref="E307">_xlfn.XLOOKUP(1,(Лист2!$A$2:$A$505=A307)*(Лист2!$B$2:$B$505=B307),(Лист2!$C$2:$C$505))</f>
        <v>54</v>
      </c>
      <c r="F307" s="7" cm="1">
        <f t="array" ref="F307">_xlfn.XLOOKUP(1, (Лист2!$A$2:$A$505=A307)*(Лист2!$B$2:$B$505=B307), Лист2!$D$2:$D$505)</f>
        <v>12747</v>
      </c>
      <c r="G307" s="7" cm="1">
        <f t="array" ref="G307">_xlfn.XLOOKUP(1, (Лист2!$A$2:$A$505=A307)*(Лист2!$B$2:$B$505=B307), Лист2!$E$2:$E$505)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5">
      <c r="A308" s="5">
        <v>43953</v>
      </c>
      <c r="B308" s="6" t="s">
        <v>21</v>
      </c>
      <c r="C308" s="6">
        <v>185979</v>
      </c>
      <c r="D308" s="6">
        <v>19625364</v>
      </c>
      <c r="E308" s="7" cm="1">
        <f t="array" ref="E308">_xlfn.XLOOKUP(1,(Лист2!$A$2:$A$505=A308)*(Лист2!$B$2:$B$505=B308),(Лист2!$C$2:$C$505))</f>
        <v>59</v>
      </c>
      <c r="F308" s="7" cm="1">
        <f t="array" ref="F308">_xlfn.XLOOKUP(1, (Лист2!$A$2:$A$505=A308)*(Лист2!$B$2:$B$505=B308), Лист2!$D$2:$D$505)</f>
        <v>12429</v>
      </c>
      <c r="G308" s="7" cm="1">
        <f t="array" ref="G308">_xlfn.XLOOKUP(1, (Лист2!$A$2:$A$505=A308)*(Лист2!$B$2:$B$505=B308), Лист2!$E$2:$E$505)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5">
      <c r="A309" s="8">
        <v>43977</v>
      </c>
      <c r="B309" s="9" t="s">
        <v>21</v>
      </c>
      <c r="C309" s="9">
        <v>244905</v>
      </c>
      <c r="D309" s="9">
        <v>25163431.5</v>
      </c>
      <c r="E309" s="7" cm="1">
        <f t="array" ref="E309">_xlfn.XLOOKUP(1,(Лист2!$A$2:$A$505=A309)*(Лист2!$B$2:$B$505=B309),(Лист2!$C$2:$C$505))</f>
        <v>59</v>
      </c>
      <c r="F309" s="7" cm="1">
        <f t="array" ref="F309">_xlfn.XLOOKUP(1, (Лист2!$A$2:$A$505=A309)*(Лист2!$B$2:$B$505=B309), Лист2!$D$2:$D$505)</f>
        <v>15369</v>
      </c>
      <c r="G309" s="7" cm="1">
        <f t="array" ref="G309">_xlfn.XLOOKUP(1, (Лист2!$A$2:$A$505=A309)*(Лист2!$B$2:$B$505=B309), Лист2!$E$2:$E$505)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5">
      <c r="A310" s="5">
        <v>43952</v>
      </c>
      <c r="B310" s="6" t="s">
        <v>21</v>
      </c>
      <c r="C310" s="6">
        <v>239409</v>
      </c>
      <c r="D310" s="6">
        <v>25413351</v>
      </c>
      <c r="E310" s="7" cm="1">
        <f t="array" ref="E310">_xlfn.XLOOKUP(1,(Лист2!$A$2:$A$505=A310)*(Лист2!$B$2:$B$505=B310),(Лист2!$C$2:$C$505))</f>
        <v>59</v>
      </c>
      <c r="F310" s="7" cm="1">
        <f t="array" ref="F310">_xlfn.XLOOKUP(1, (Лист2!$A$2:$A$505=A310)*(Лист2!$B$2:$B$505=B310), Лист2!$D$2:$D$505)</f>
        <v>15222</v>
      </c>
      <c r="G310" s="7" cm="1">
        <f t="array" ref="G310">_xlfn.XLOOKUP(1, (Лист2!$A$2:$A$505=A310)*(Лист2!$B$2:$B$505=B310), Лист2!$E$2:$E$505)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5">
      <c r="A311" s="8">
        <v>43963</v>
      </c>
      <c r="B311" s="9" t="s">
        <v>21</v>
      </c>
      <c r="C311" s="9">
        <v>192886.5</v>
      </c>
      <c r="D311" s="9">
        <v>19205179.5</v>
      </c>
      <c r="E311" s="7" cm="1">
        <f t="array" ref="E311">_xlfn.XLOOKUP(1,(Лист2!$A$2:$A$505=A311)*(Лист2!$B$2:$B$505=B311),(Лист2!$C$2:$C$505))</f>
        <v>60</v>
      </c>
      <c r="F311" s="7" cm="1">
        <f t="array" ref="F311">_xlfn.XLOOKUP(1, (Лист2!$A$2:$A$505=A311)*(Лист2!$B$2:$B$505=B311), Лист2!$D$2:$D$505)</f>
        <v>12000</v>
      </c>
      <c r="G311" s="7" cm="1">
        <f t="array" ref="G311">_xlfn.XLOOKUP(1, (Лист2!$A$2:$A$505=A311)*(Лист2!$B$2:$B$505=B311), Лист2!$E$2:$E$505)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5">
      <c r="A312" s="5">
        <v>43972</v>
      </c>
      <c r="B312" s="6" t="s">
        <v>21</v>
      </c>
      <c r="C312" s="6">
        <v>224233.5</v>
      </c>
      <c r="D312" s="6">
        <v>22253295</v>
      </c>
      <c r="E312" s="7" cm="1">
        <f t="array" ref="E312">_xlfn.XLOOKUP(1,(Лист2!$A$2:$A$505=A312)*(Лист2!$B$2:$B$505=B312),(Лист2!$C$2:$C$505))</f>
        <v>60</v>
      </c>
      <c r="F312" s="7" cm="1">
        <f t="array" ref="F312">_xlfn.XLOOKUP(1, (Лист2!$A$2:$A$505=A312)*(Лист2!$B$2:$B$505=B312), Лист2!$D$2:$D$505)</f>
        <v>14005</v>
      </c>
      <c r="G312" s="7" cm="1">
        <f t="array" ref="G312">_xlfn.XLOOKUP(1, (Лист2!$A$2:$A$505=A312)*(Лист2!$B$2:$B$505=B312), Лист2!$E$2:$E$505)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5">
      <c r="A313" s="8">
        <v>43971</v>
      </c>
      <c r="B313" s="9" t="s">
        <v>21</v>
      </c>
      <c r="C313" s="9">
        <v>219622.5</v>
      </c>
      <c r="D313" s="9">
        <v>21959286</v>
      </c>
      <c r="E313" s="7" cm="1">
        <f t="array" ref="E313">_xlfn.XLOOKUP(1,(Лист2!$A$2:$A$505=A313)*(Лист2!$B$2:$B$505=B313),(Лист2!$C$2:$C$505))</f>
        <v>60</v>
      </c>
      <c r="F313" s="7" cm="1">
        <f t="array" ref="F313">_xlfn.XLOOKUP(1, (Лист2!$A$2:$A$505=A313)*(Лист2!$B$2:$B$505=B313), Лист2!$D$2:$D$505)</f>
        <v>13792</v>
      </c>
      <c r="G313" s="7" cm="1">
        <f t="array" ref="G313">_xlfn.XLOOKUP(1, (Лист2!$A$2:$A$505=A313)*(Лист2!$B$2:$B$505=B313), Лист2!$E$2:$E$505)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5">
      <c r="A314" s="5">
        <v>43956</v>
      </c>
      <c r="B314" s="6" t="s">
        <v>21</v>
      </c>
      <c r="C314" s="6">
        <v>213582</v>
      </c>
      <c r="D314" s="6">
        <v>21919435.5</v>
      </c>
      <c r="E314" s="7" cm="1">
        <f t="array" ref="E314">_xlfn.XLOOKUP(1,(Лист2!$A$2:$A$505=A314)*(Лист2!$B$2:$B$505=B314),(Лист2!$C$2:$C$505))</f>
        <v>59</v>
      </c>
      <c r="F314" s="7" cm="1">
        <f t="array" ref="F314">_xlfn.XLOOKUP(1, (Лист2!$A$2:$A$505=A314)*(Лист2!$B$2:$B$505=B314), Лист2!$D$2:$D$505)</f>
        <v>13469</v>
      </c>
      <c r="G314" s="7" cm="1">
        <f t="array" ref="G314">_xlfn.XLOOKUP(1, (Лист2!$A$2:$A$505=A314)*(Лист2!$B$2:$B$505=B314), Лист2!$E$2:$E$505)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5">
      <c r="A315" s="8">
        <v>43949</v>
      </c>
      <c r="B315" s="9" t="s">
        <v>22</v>
      </c>
      <c r="C315" s="9">
        <v>195705</v>
      </c>
      <c r="D315" s="9">
        <v>20003263.5</v>
      </c>
      <c r="E315" s="7" cm="1">
        <f t="array" ref="E315">_xlfn.XLOOKUP(1,(Лист2!$A$2:$A$505=A315)*(Лист2!$B$2:$B$505=B315),(Лист2!$C$2:$C$505))</f>
        <v>54</v>
      </c>
      <c r="F315" s="7" cm="1">
        <f t="array" ref="F315">_xlfn.XLOOKUP(1, (Лист2!$A$2:$A$505=A315)*(Лист2!$B$2:$B$505=B315), Лист2!$D$2:$D$505)</f>
        <v>12306</v>
      </c>
      <c r="G315" s="7" cm="1">
        <f t="array" ref="G315">_xlfn.XLOOKUP(1, (Лист2!$A$2:$A$505=A315)*(Лист2!$B$2:$B$505=B315), Лист2!$E$2:$E$505)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5">
      <c r="A316" s="5">
        <v>43964</v>
      </c>
      <c r="B316" s="6" t="s">
        <v>21</v>
      </c>
      <c r="C316" s="6">
        <v>193722</v>
      </c>
      <c r="D316" s="6">
        <v>19437273</v>
      </c>
      <c r="E316" s="7" cm="1">
        <f t="array" ref="E316">_xlfn.XLOOKUP(1,(Лист2!$A$2:$A$505=A316)*(Лист2!$B$2:$B$505=B316),(Лист2!$C$2:$C$505))</f>
        <v>60</v>
      </c>
      <c r="F316" s="7" cm="1">
        <f t="array" ref="F316">_xlfn.XLOOKUP(1, (Лист2!$A$2:$A$505=A316)*(Лист2!$B$2:$B$505=B316), Лист2!$D$2:$D$505)</f>
        <v>12007</v>
      </c>
      <c r="G316" s="7" cm="1">
        <f t="array" ref="G316">_xlfn.XLOOKUP(1, (Лист2!$A$2:$A$505=A316)*(Лист2!$B$2:$B$505=B316), Лист2!$E$2:$E$505)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5">
      <c r="A317" s="8">
        <v>43954</v>
      </c>
      <c r="B317" s="9" t="s">
        <v>21</v>
      </c>
      <c r="C317" s="9">
        <v>257215.5</v>
      </c>
      <c r="D317" s="9">
        <v>26492278.5</v>
      </c>
      <c r="E317" s="7" cm="1">
        <f t="array" ref="E317">_xlfn.XLOOKUP(1,(Лист2!$A$2:$A$505=A317)*(Лист2!$B$2:$B$505=B317),(Лист2!$C$2:$C$505))</f>
        <v>59</v>
      </c>
      <c r="F317" s="7" cm="1">
        <f t="array" ref="F317">_xlfn.XLOOKUP(1, (Лист2!$A$2:$A$505=A317)*(Лист2!$B$2:$B$505=B317), Лист2!$D$2:$D$505)</f>
        <v>15277</v>
      </c>
      <c r="G317" s="7" cm="1">
        <f t="array" ref="G317">_xlfn.XLOOKUP(1, (Лист2!$A$2:$A$505=A317)*(Лист2!$B$2:$B$505=B317), Лист2!$E$2:$E$505)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35">
      <c r="A318" s="5">
        <v>43957</v>
      </c>
      <c r="B318" s="6" t="s">
        <v>21</v>
      </c>
      <c r="C318" s="6">
        <v>224779.5</v>
      </c>
      <c r="D318" s="6">
        <v>23032992</v>
      </c>
      <c r="E318" s="7" cm="1">
        <f t="array" ref="E318">_xlfn.XLOOKUP(1,(Лист2!$A$2:$A$505=A318)*(Лист2!$B$2:$B$505=B318),(Лист2!$C$2:$C$505))</f>
        <v>59</v>
      </c>
      <c r="F318" s="7" cm="1">
        <f t="array" ref="F318">_xlfn.XLOOKUP(1, (Лист2!$A$2:$A$505=A318)*(Лист2!$B$2:$B$505=B318), Лист2!$D$2:$D$505)</f>
        <v>14103</v>
      </c>
      <c r="G318" s="7" cm="1">
        <f t="array" ref="G318">_xlfn.XLOOKUP(1, (Лист2!$A$2:$A$505=A318)*(Лист2!$B$2:$B$505=B318), Лист2!$E$2:$E$505)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5">
      <c r="A319" s="8">
        <v>43974</v>
      </c>
      <c r="B319" s="9" t="s">
        <v>21</v>
      </c>
      <c r="C319" s="9">
        <v>292018.5</v>
      </c>
      <c r="D319" s="9">
        <v>28590910.5</v>
      </c>
      <c r="E319" s="7" cm="1">
        <f t="array" ref="E319">_xlfn.XLOOKUP(1,(Лист2!$A$2:$A$505=A319)*(Лист2!$B$2:$B$505=B319),(Лист2!$C$2:$C$505))</f>
        <v>60</v>
      </c>
      <c r="F319" s="7" cm="1">
        <f t="array" ref="F319">_xlfn.XLOOKUP(1, (Лист2!$A$2:$A$505=A319)*(Лист2!$B$2:$B$505=B319), Лист2!$D$2:$D$505)</f>
        <v>17295</v>
      </c>
      <c r="G319" s="7" cm="1">
        <f t="array" ref="G319">_xlfn.XLOOKUP(1, (Лист2!$A$2:$A$505=A319)*(Лист2!$B$2:$B$505=B319), Лист2!$E$2:$E$505)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5">
      <c r="A320" s="5">
        <v>43976</v>
      </c>
      <c r="B320" s="6" t="s">
        <v>21</v>
      </c>
      <c r="C320" s="6">
        <v>198751.5</v>
      </c>
      <c r="D320" s="6">
        <v>20582743.5</v>
      </c>
      <c r="E320" s="7" cm="1">
        <f t="array" ref="E320">_xlfn.XLOOKUP(1,(Лист2!$A$2:$A$505=A320)*(Лист2!$B$2:$B$505=B320),(Лист2!$C$2:$C$505))</f>
        <v>59</v>
      </c>
      <c r="F320" s="7" cm="1">
        <f t="array" ref="F320">_xlfn.XLOOKUP(1, (Лист2!$A$2:$A$505=A320)*(Лист2!$B$2:$B$505=B320), Лист2!$D$2:$D$505)</f>
        <v>12983</v>
      </c>
      <c r="G320" s="7" cm="1">
        <f t="array" ref="G320">_xlfn.XLOOKUP(1, (Лист2!$A$2:$A$505=A320)*(Лист2!$B$2:$B$505=B320), Лист2!$E$2:$E$505)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5">
      <c r="A321" s="8">
        <v>43951</v>
      </c>
      <c r="B321" s="9" t="s">
        <v>21</v>
      </c>
      <c r="C321" s="9">
        <v>214386</v>
      </c>
      <c r="D321" s="9">
        <v>22530000</v>
      </c>
      <c r="E321" s="7" cm="1">
        <f t="array" ref="E321">_xlfn.XLOOKUP(1,(Лист2!$A$2:$A$505=A321)*(Лист2!$B$2:$B$505=B321),(Лист2!$C$2:$C$505))</f>
        <v>59</v>
      </c>
      <c r="F321" s="7" cm="1">
        <f t="array" ref="F321">_xlfn.XLOOKUP(1, (Лист2!$A$2:$A$505=A321)*(Лист2!$B$2:$B$505=B321), Лист2!$D$2:$D$505)</f>
        <v>13251</v>
      </c>
      <c r="G321" s="7" cm="1">
        <f t="array" ref="G321">_xlfn.XLOOKUP(1, (Лист2!$A$2:$A$505=A321)*(Лист2!$B$2:$B$505=B321), Лист2!$E$2:$E$505)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5">
      <c r="A322" s="5">
        <v>43961</v>
      </c>
      <c r="B322" s="6" t="s">
        <v>21</v>
      </c>
      <c r="C322" s="6">
        <v>243825</v>
      </c>
      <c r="D322" s="6">
        <v>24890404.5</v>
      </c>
      <c r="E322" s="7" cm="1">
        <f t="array" ref="E322">_xlfn.XLOOKUP(1,(Лист2!$A$2:$A$505=A322)*(Лист2!$B$2:$B$505=B322),(Лист2!$C$2:$C$505))</f>
        <v>59</v>
      </c>
      <c r="F322" s="7" cm="1">
        <f t="array" ref="F322">_xlfn.XLOOKUP(1, (Лист2!$A$2:$A$505=A322)*(Лист2!$B$2:$B$505=B322), Лист2!$D$2:$D$505)</f>
        <v>14569</v>
      </c>
      <c r="G322" s="7" cm="1">
        <f t="array" ref="G322">_xlfn.XLOOKUP(1, (Лист2!$A$2:$A$505=A322)*(Лист2!$B$2:$B$505=B322), Лист2!$E$2:$E$505)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35">
      <c r="A323" s="8">
        <v>43959</v>
      </c>
      <c r="B323" s="9" t="s">
        <v>21</v>
      </c>
      <c r="C323" s="9">
        <v>232701</v>
      </c>
      <c r="D323" s="9">
        <v>23881948.5</v>
      </c>
      <c r="E323" s="7" cm="1">
        <f t="array" ref="E323">_xlfn.XLOOKUP(1,(Лист2!$A$2:$A$505=A323)*(Лист2!$B$2:$B$505=B323),(Лист2!$C$2:$C$505))</f>
        <v>59</v>
      </c>
      <c r="F323" s="7" cm="1">
        <f t="array" ref="F323">_xlfn.XLOOKUP(1, (Лист2!$A$2:$A$505=A323)*(Лист2!$B$2:$B$505=B323), Лист2!$D$2:$D$505)</f>
        <v>14098</v>
      </c>
      <c r="G323" s="7" cm="1">
        <f t="array" ref="G323">_xlfn.XLOOKUP(1, (Лист2!$A$2:$A$505=A323)*(Лист2!$B$2:$B$505=B323), Лист2!$E$2:$E$505)</f>
        <v>13106</v>
      </c>
      <c r="H323">
        <f t="shared" ref="H323:H386" si="10">D323/E323</f>
        <v>404778.78813559323</v>
      </c>
      <c r="I323">
        <f t="shared" ref="I323:I386" si="11">_xlfn.ISOWEEKNUM(A323)</f>
        <v>19</v>
      </c>
    </row>
    <row r="324" spans="1:9" ht="14.25" customHeight="1" x14ac:dyDescent="0.35">
      <c r="A324" s="5">
        <v>43958</v>
      </c>
      <c r="B324" s="6" t="s">
        <v>21</v>
      </c>
      <c r="C324" s="6">
        <v>219411</v>
      </c>
      <c r="D324" s="6">
        <v>22460130</v>
      </c>
      <c r="E324" s="7" cm="1">
        <f t="array" ref="E324">_xlfn.XLOOKUP(1,(Лист2!$A$2:$A$505=A324)*(Лист2!$B$2:$B$505=B324),(Лист2!$C$2:$C$505))</f>
        <v>59</v>
      </c>
      <c r="F324" s="7" cm="1">
        <f t="array" ref="F324">_xlfn.XLOOKUP(1, (Лист2!$A$2:$A$505=A324)*(Лист2!$B$2:$B$505=B324), Лист2!$D$2:$D$505)</f>
        <v>13495</v>
      </c>
      <c r="G324" s="7" cm="1">
        <f t="array" ref="G324">_xlfn.XLOOKUP(1, (Лист2!$A$2:$A$505=A324)*(Лист2!$B$2:$B$505=B324), Лист2!$E$2:$E$505)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5">
      <c r="A325" s="8">
        <v>43975</v>
      </c>
      <c r="B325" s="9" t="s">
        <v>21</v>
      </c>
      <c r="C325" s="9">
        <v>200029.5</v>
      </c>
      <c r="D325" s="9">
        <v>19959801</v>
      </c>
      <c r="E325" s="7" cm="1">
        <f t="array" ref="E325">_xlfn.XLOOKUP(1,(Лист2!$A$2:$A$505=A325)*(Лист2!$B$2:$B$505=B325),(Лист2!$C$2:$C$505))</f>
        <v>60</v>
      </c>
      <c r="F325" s="7" cm="1">
        <f t="array" ref="F325">_xlfn.XLOOKUP(1, (Лист2!$A$2:$A$505=A325)*(Лист2!$B$2:$B$505=B325), Лист2!$D$2:$D$505)</f>
        <v>12822</v>
      </c>
      <c r="G325" s="7" cm="1">
        <f t="array" ref="G325">_xlfn.XLOOKUP(1, (Лист2!$A$2:$A$505=A325)*(Лист2!$B$2:$B$505=B325), Лист2!$E$2:$E$505)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5">
      <c r="A326" s="5">
        <v>43967</v>
      </c>
      <c r="B326" s="6" t="s">
        <v>22</v>
      </c>
      <c r="C326" s="6">
        <v>225480</v>
      </c>
      <c r="D326" s="6">
        <v>22355338.5</v>
      </c>
      <c r="E326" s="7" cm="1">
        <f t="array" ref="E326">_xlfn.XLOOKUP(1,(Лист2!$A$2:$A$505=A326)*(Лист2!$B$2:$B$505=B326),(Лист2!$C$2:$C$505))</f>
        <v>54</v>
      </c>
      <c r="F326" s="7" cm="1">
        <f t="array" ref="F326">_xlfn.XLOOKUP(1, (Лист2!$A$2:$A$505=A326)*(Лист2!$B$2:$B$505=B326), Лист2!$D$2:$D$505)</f>
        <v>13170</v>
      </c>
      <c r="G326" s="7" cm="1">
        <f t="array" ref="G326">_xlfn.XLOOKUP(1, (Лист2!$A$2:$A$505=A326)*(Лист2!$B$2:$B$505=B326), Лист2!$E$2:$E$505)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5">
      <c r="A327" s="8">
        <v>43970</v>
      </c>
      <c r="B327" s="9" t="s">
        <v>22</v>
      </c>
      <c r="C327" s="9">
        <v>211453.5</v>
      </c>
      <c r="D327" s="9">
        <v>20590072.5</v>
      </c>
      <c r="E327" s="7" cm="1">
        <f t="array" ref="E327">_xlfn.XLOOKUP(1,(Лист2!$A$2:$A$505=A327)*(Лист2!$B$2:$B$505=B327),(Лист2!$C$2:$C$505))</f>
        <v>54</v>
      </c>
      <c r="F327" s="7" cm="1">
        <f t="array" ref="F327">_xlfn.XLOOKUP(1, (Лист2!$A$2:$A$505=A327)*(Лист2!$B$2:$B$505=B327), Лист2!$D$2:$D$505)</f>
        <v>13070</v>
      </c>
      <c r="G327" s="7" cm="1">
        <f t="array" ref="G327">_xlfn.XLOOKUP(1, (Лист2!$A$2:$A$505=A327)*(Лист2!$B$2:$B$505=B327), Лист2!$E$2:$E$505)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5">
      <c r="A328" s="5">
        <v>43968</v>
      </c>
      <c r="B328" s="6" t="s">
        <v>22</v>
      </c>
      <c r="C328" s="6">
        <v>184801.5</v>
      </c>
      <c r="D328" s="6">
        <v>18449091</v>
      </c>
      <c r="E328" s="7" cm="1">
        <f t="array" ref="E328">_xlfn.XLOOKUP(1,(Лист2!$A$2:$A$505=A328)*(Лист2!$B$2:$B$505=B328),(Лист2!$C$2:$C$505))</f>
        <v>54</v>
      </c>
      <c r="F328" s="7" cm="1">
        <f t="array" ref="F328">_xlfn.XLOOKUP(1, (Лист2!$A$2:$A$505=A328)*(Лист2!$B$2:$B$505=B328), Лист2!$D$2:$D$505)</f>
        <v>11128</v>
      </c>
      <c r="G328" s="7" cm="1">
        <f t="array" ref="G328">_xlfn.XLOOKUP(1, (Лист2!$A$2:$A$505=A328)*(Лист2!$B$2:$B$505=B328), Лист2!$E$2:$E$505)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5">
      <c r="A329" s="8">
        <v>43960</v>
      </c>
      <c r="B329" s="9" t="s">
        <v>22</v>
      </c>
      <c r="C329" s="9">
        <v>177976.5</v>
      </c>
      <c r="D329" s="9">
        <v>18085798.5</v>
      </c>
      <c r="E329" s="7" cm="1">
        <f t="array" ref="E329">_xlfn.XLOOKUP(1,(Лист2!$A$2:$A$505=A329)*(Лист2!$B$2:$B$505=B329),(Лист2!$C$2:$C$505))</f>
        <v>54</v>
      </c>
      <c r="F329" s="7" cm="1">
        <f t="array" ref="F329">_xlfn.XLOOKUP(1, (Лист2!$A$2:$A$505=A329)*(Лист2!$B$2:$B$505=B329), Лист2!$D$2:$D$505)</f>
        <v>11288</v>
      </c>
      <c r="G329" s="7" cm="1">
        <f t="array" ref="G329">_xlfn.XLOOKUP(1, (Лист2!$A$2:$A$505=A329)*(Лист2!$B$2:$B$505=B329), Лист2!$E$2:$E$505)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5">
      <c r="A330" s="5">
        <v>43955</v>
      </c>
      <c r="B330" s="6" t="s">
        <v>22</v>
      </c>
      <c r="C330" s="6">
        <v>223617</v>
      </c>
      <c r="D330" s="6">
        <v>22796827.5</v>
      </c>
      <c r="E330" s="7" cm="1">
        <f t="array" ref="E330">_xlfn.XLOOKUP(1,(Лист2!$A$2:$A$505=A330)*(Лист2!$B$2:$B$505=B330),(Лист2!$C$2:$C$505))</f>
        <v>54</v>
      </c>
      <c r="F330" s="7" cm="1">
        <f t="array" ref="F330">_xlfn.XLOOKUP(1, (Лист2!$A$2:$A$505=A330)*(Лист2!$B$2:$B$505=B330), Лист2!$D$2:$D$505)</f>
        <v>13606</v>
      </c>
      <c r="G330" s="7" cm="1">
        <f t="array" ref="G330">_xlfn.XLOOKUP(1, (Лист2!$A$2:$A$505=A330)*(Лист2!$B$2:$B$505=B330), Лист2!$E$2:$E$505)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5">
      <c r="A331" s="8">
        <v>43953</v>
      </c>
      <c r="B331" s="9" t="s">
        <v>22</v>
      </c>
      <c r="C331" s="9">
        <v>176397</v>
      </c>
      <c r="D331" s="9">
        <v>18625921.5</v>
      </c>
      <c r="E331" s="7" cm="1">
        <f t="array" ref="E331">_xlfn.XLOOKUP(1,(Лист2!$A$2:$A$505=A331)*(Лист2!$B$2:$B$505=B331),(Лист2!$C$2:$C$505))</f>
        <v>54</v>
      </c>
      <c r="F331" s="7" cm="1">
        <f t="array" ref="F331">_xlfn.XLOOKUP(1, (Лист2!$A$2:$A$505=A331)*(Лист2!$B$2:$B$505=B331), Лист2!$D$2:$D$505)</f>
        <v>11622</v>
      </c>
      <c r="G331" s="7" cm="1">
        <f t="array" ref="G331">_xlfn.XLOOKUP(1, (Лист2!$A$2:$A$505=A331)*(Лист2!$B$2:$B$505=B331), Лист2!$E$2:$E$505)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5">
      <c r="A332" s="5">
        <v>43977</v>
      </c>
      <c r="B332" s="6" t="s">
        <v>22</v>
      </c>
      <c r="C332" s="6">
        <v>232369.5</v>
      </c>
      <c r="D332" s="6">
        <v>23856345</v>
      </c>
      <c r="E332" s="7" cm="1">
        <f t="array" ref="E332">_xlfn.XLOOKUP(1,(Лист2!$A$2:$A$505=A332)*(Лист2!$B$2:$B$505=B332),(Лист2!$C$2:$C$505))</f>
        <v>54</v>
      </c>
      <c r="F332" s="7" cm="1">
        <f t="array" ref="F332">_xlfn.XLOOKUP(1, (Лист2!$A$2:$A$505=A332)*(Лист2!$B$2:$B$505=B332), Лист2!$D$2:$D$505)</f>
        <v>14482</v>
      </c>
      <c r="G332" s="7" cm="1">
        <f t="array" ref="G332">_xlfn.XLOOKUP(1, (Лист2!$A$2:$A$505=A332)*(Лист2!$B$2:$B$505=B332), Лист2!$E$2:$E$505)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5">
      <c r="A333" s="8">
        <v>43952</v>
      </c>
      <c r="B333" s="9" t="s">
        <v>22</v>
      </c>
      <c r="C333" s="9">
        <v>226540.5</v>
      </c>
      <c r="D333" s="9">
        <v>23953536</v>
      </c>
      <c r="E333" s="7" cm="1">
        <f t="array" ref="E333">_xlfn.XLOOKUP(1,(Лист2!$A$2:$A$505=A333)*(Лист2!$B$2:$B$505=B333),(Лист2!$C$2:$C$505))</f>
        <v>54</v>
      </c>
      <c r="F333" s="7" cm="1">
        <f t="array" ref="F333">_xlfn.XLOOKUP(1, (Лист2!$A$2:$A$505=A333)*(Лист2!$B$2:$B$505=B333), Лист2!$D$2:$D$505)</f>
        <v>14205</v>
      </c>
      <c r="G333" s="7" cm="1">
        <f t="array" ref="G333">_xlfn.XLOOKUP(1, (Лист2!$A$2:$A$505=A333)*(Лист2!$B$2:$B$505=B333), Лист2!$E$2:$E$505)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5">
      <c r="A334" s="5">
        <v>43963</v>
      </c>
      <c r="B334" s="6" t="s">
        <v>22</v>
      </c>
      <c r="C334" s="6">
        <v>189679.5</v>
      </c>
      <c r="D334" s="6">
        <v>18718036.5</v>
      </c>
      <c r="E334" s="7" cm="1">
        <f t="array" ref="E334">_xlfn.XLOOKUP(1,(Лист2!$A$2:$A$505=A334)*(Лист2!$B$2:$B$505=B334),(Лист2!$C$2:$C$505))</f>
        <v>54</v>
      </c>
      <c r="F334" s="7" cm="1">
        <f t="array" ref="F334">_xlfn.XLOOKUP(1, (Лист2!$A$2:$A$505=A334)*(Лист2!$B$2:$B$505=B334), Лист2!$D$2:$D$505)</f>
        <v>11614</v>
      </c>
      <c r="G334" s="7" cm="1">
        <f t="array" ref="G334">_xlfn.XLOOKUP(1, (Лист2!$A$2:$A$505=A334)*(Лист2!$B$2:$B$505=B334), Лист2!$E$2:$E$505)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5">
      <c r="A335" s="8">
        <v>43972</v>
      </c>
      <c r="B335" s="9" t="s">
        <v>22</v>
      </c>
      <c r="C335" s="9">
        <v>213640.5</v>
      </c>
      <c r="D335" s="9">
        <v>21042673.5</v>
      </c>
      <c r="E335" s="7" cm="1">
        <f t="array" ref="E335">_xlfn.XLOOKUP(1,(Лист2!$A$2:$A$505=A335)*(Лист2!$B$2:$B$505=B335),(Лист2!$C$2:$C$505))</f>
        <v>54</v>
      </c>
      <c r="F335" s="7" cm="1">
        <f t="array" ref="F335">_xlfn.XLOOKUP(1, (Лист2!$A$2:$A$505=A335)*(Лист2!$B$2:$B$505=B335), Лист2!$D$2:$D$505)</f>
        <v>13240</v>
      </c>
      <c r="G335" s="7" cm="1">
        <f t="array" ref="G335">_xlfn.XLOOKUP(1, (Лист2!$A$2:$A$505=A335)*(Лист2!$B$2:$B$505=B335), Лист2!$E$2:$E$505)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5">
      <c r="A336" s="5">
        <v>43971</v>
      </c>
      <c r="B336" s="6" t="s">
        <v>22</v>
      </c>
      <c r="C336" s="6">
        <v>214885.5</v>
      </c>
      <c r="D336" s="6">
        <v>21411349.5</v>
      </c>
      <c r="E336" s="7" cm="1">
        <f t="array" ref="E336">_xlfn.XLOOKUP(1,(Лист2!$A$2:$A$505=A336)*(Лист2!$B$2:$B$505=B336),(Лист2!$C$2:$C$505))</f>
        <v>54</v>
      </c>
      <c r="F336" s="7" cm="1">
        <f t="array" ref="F336">_xlfn.XLOOKUP(1, (Лист2!$A$2:$A$505=A336)*(Лист2!$B$2:$B$505=B336), Лист2!$D$2:$D$505)</f>
        <v>13298</v>
      </c>
      <c r="G336" s="7" cm="1">
        <f t="array" ref="G336">_xlfn.XLOOKUP(1, (Лист2!$A$2:$A$505=A336)*(Лист2!$B$2:$B$505=B336), Лист2!$E$2:$E$505)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5">
      <c r="A337" s="8">
        <v>43956</v>
      </c>
      <c r="B337" s="9" t="s">
        <v>22</v>
      </c>
      <c r="C337" s="9">
        <v>203832</v>
      </c>
      <c r="D337" s="9">
        <v>20880142.5</v>
      </c>
      <c r="E337" s="7" cm="1">
        <f t="array" ref="E337">_xlfn.XLOOKUP(1,(Лист2!$A$2:$A$505=A337)*(Лист2!$B$2:$B$505=B337),(Лист2!$C$2:$C$505))</f>
        <v>54</v>
      </c>
      <c r="F337" s="7" cm="1">
        <f t="array" ref="F337">_xlfn.XLOOKUP(1, (Лист2!$A$2:$A$505=A337)*(Лист2!$B$2:$B$505=B337), Лист2!$D$2:$D$505)</f>
        <v>12775</v>
      </c>
      <c r="G337" s="7" cm="1">
        <f t="array" ref="G337">_xlfn.XLOOKUP(1, (Лист2!$A$2:$A$505=A337)*(Лист2!$B$2:$B$505=B337), Лист2!$E$2:$E$505)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5">
      <c r="A338" s="5">
        <v>43964</v>
      </c>
      <c r="B338" s="6" t="s">
        <v>22</v>
      </c>
      <c r="C338" s="6">
        <v>188662.5</v>
      </c>
      <c r="D338" s="6">
        <v>18784000.5</v>
      </c>
      <c r="E338" s="7" cm="1">
        <f t="array" ref="E338">_xlfn.XLOOKUP(1,(Лист2!$A$2:$A$505=A338)*(Лист2!$B$2:$B$505=B338),(Лист2!$C$2:$C$505))</f>
        <v>54</v>
      </c>
      <c r="F338" s="7" cm="1">
        <f t="array" ref="F338">_xlfn.XLOOKUP(1, (Лист2!$A$2:$A$505=A338)*(Лист2!$B$2:$B$505=B338), Лист2!$D$2:$D$505)</f>
        <v>11522</v>
      </c>
      <c r="G338" s="7" cm="1">
        <f t="array" ref="G338">_xlfn.XLOOKUP(1, (Лист2!$A$2:$A$505=A338)*(Лист2!$B$2:$B$505=B338), Лист2!$E$2:$E$505)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5">
      <c r="A339" s="8">
        <v>43982</v>
      </c>
      <c r="B339" s="9" t="s">
        <v>21</v>
      </c>
      <c r="C339" s="9">
        <v>215277</v>
      </c>
      <c r="D339" s="9">
        <v>21585316.5</v>
      </c>
      <c r="E339" s="7" cm="1">
        <f t="array" ref="E339">_xlfn.XLOOKUP(1,(Лист2!$A$2:$A$505=A339)*(Лист2!$B$2:$B$505=B339),(Лист2!$C$2:$C$505))</f>
        <v>59</v>
      </c>
      <c r="F339" s="7" cm="1">
        <f t="array" ref="F339">_xlfn.XLOOKUP(1, (Лист2!$A$2:$A$505=A339)*(Лист2!$B$2:$B$505=B339), Лист2!$D$2:$D$505)</f>
        <v>13684</v>
      </c>
      <c r="G339" s="7" cm="1">
        <f t="array" ref="G339">_xlfn.XLOOKUP(1, (Лист2!$A$2:$A$505=A339)*(Лист2!$B$2:$B$505=B339), Лист2!$E$2:$E$505)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35">
      <c r="A340" s="5">
        <v>43954</v>
      </c>
      <c r="B340" s="6" t="s">
        <v>22</v>
      </c>
      <c r="C340" s="6">
        <v>248148</v>
      </c>
      <c r="D340" s="6">
        <v>25519072.5</v>
      </c>
      <c r="E340" s="7" cm="1">
        <f t="array" ref="E340">_xlfn.XLOOKUP(1,(Лист2!$A$2:$A$505=A340)*(Лист2!$B$2:$B$505=B340),(Лист2!$C$2:$C$505))</f>
        <v>54</v>
      </c>
      <c r="F340" s="7" cm="1">
        <f t="array" ref="F340">_xlfn.XLOOKUP(1, (Лист2!$A$2:$A$505=A340)*(Лист2!$B$2:$B$505=B340), Лист2!$D$2:$D$505)</f>
        <v>14823</v>
      </c>
      <c r="G340" s="7" cm="1">
        <f t="array" ref="G340">_xlfn.XLOOKUP(1, (Лист2!$A$2:$A$505=A340)*(Лист2!$B$2:$B$505=B340), Лист2!$E$2:$E$505)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5">
      <c r="A341" s="8">
        <v>43981</v>
      </c>
      <c r="B341" s="9" t="s">
        <v>21</v>
      </c>
      <c r="C341" s="9">
        <v>246414</v>
      </c>
      <c r="D341" s="9">
        <v>24527245.5</v>
      </c>
      <c r="E341" s="7" cm="1">
        <f t="array" ref="E341">_xlfn.XLOOKUP(1,(Лист2!$A$2:$A$505=A341)*(Лист2!$B$2:$B$505=B341),(Лист2!$C$2:$C$505))</f>
        <v>59</v>
      </c>
      <c r="F341" s="7" cm="1">
        <f t="array" ref="F341">_xlfn.XLOOKUP(1, (Лист2!$A$2:$A$505=A341)*(Лист2!$B$2:$B$505=B341), Лист2!$D$2:$D$505)</f>
        <v>15030</v>
      </c>
      <c r="G341" s="7" cm="1">
        <f t="array" ref="G341">_xlfn.XLOOKUP(1, (Лист2!$A$2:$A$505=A341)*(Лист2!$B$2:$B$505=B341), Лист2!$E$2:$E$505)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5">
      <c r="A342" s="5">
        <v>43957</v>
      </c>
      <c r="B342" s="6" t="s">
        <v>22</v>
      </c>
      <c r="C342" s="6">
        <v>216498</v>
      </c>
      <c r="D342" s="6">
        <v>22126444.5</v>
      </c>
      <c r="E342" s="7" cm="1">
        <f t="array" ref="E342">_xlfn.XLOOKUP(1,(Лист2!$A$2:$A$505=A342)*(Лист2!$B$2:$B$505=B342),(Лист2!$C$2:$C$505))</f>
        <v>54</v>
      </c>
      <c r="F342" s="7" cm="1">
        <f t="array" ref="F342">_xlfn.XLOOKUP(1, (Лист2!$A$2:$A$505=A342)*(Лист2!$B$2:$B$505=B342), Лист2!$D$2:$D$505)</f>
        <v>13406</v>
      </c>
      <c r="G342" s="7" cm="1">
        <f t="array" ref="G342">_xlfn.XLOOKUP(1, (Лист2!$A$2:$A$505=A342)*(Лист2!$B$2:$B$505=B342), Лист2!$E$2:$E$505)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5">
      <c r="A343" s="8">
        <v>43974</v>
      </c>
      <c r="B343" s="9" t="s">
        <v>22</v>
      </c>
      <c r="C343" s="9">
        <v>275793</v>
      </c>
      <c r="D343" s="9">
        <v>26806626</v>
      </c>
      <c r="E343" s="7" cm="1">
        <f t="array" ref="E343">_xlfn.XLOOKUP(1,(Лист2!$A$2:$A$505=A343)*(Лист2!$B$2:$B$505=B343),(Лист2!$C$2:$C$505))</f>
        <v>54</v>
      </c>
      <c r="F343" s="7" cm="1">
        <f t="array" ref="F343">_xlfn.XLOOKUP(1, (Лист2!$A$2:$A$505=A343)*(Лист2!$B$2:$B$505=B343), Лист2!$D$2:$D$505)</f>
        <v>16221</v>
      </c>
      <c r="G343" s="7" cm="1">
        <f t="array" ref="G343">_xlfn.XLOOKUP(1, (Лист2!$A$2:$A$505=A343)*(Лист2!$B$2:$B$505=B343), Лист2!$E$2:$E$505)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5">
      <c r="A344" s="5">
        <v>43979</v>
      </c>
      <c r="B344" s="6" t="s">
        <v>21</v>
      </c>
      <c r="C344" s="6">
        <v>199753.5</v>
      </c>
      <c r="D344" s="6">
        <v>20535733.5</v>
      </c>
      <c r="E344" s="7" cm="1">
        <f t="array" ref="E344">_xlfn.XLOOKUP(1,(Лист2!$A$2:$A$505=A344)*(Лист2!$B$2:$B$505=B344),(Лист2!$C$2:$C$505))</f>
        <v>60</v>
      </c>
      <c r="F344" s="7" cm="1">
        <f t="array" ref="F344">_xlfn.XLOOKUP(1, (Лист2!$A$2:$A$505=A344)*(Лист2!$B$2:$B$505=B344), Лист2!$D$2:$D$505)</f>
        <v>12854</v>
      </c>
      <c r="G344" s="7" cm="1">
        <f t="array" ref="G344">_xlfn.XLOOKUP(1, (Лист2!$A$2:$A$505=A344)*(Лист2!$B$2:$B$505=B344), Лист2!$E$2:$E$505)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5">
      <c r="A345" s="8">
        <v>43976</v>
      </c>
      <c r="B345" s="9" t="s">
        <v>22</v>
      </c>
      <c r="C345" s="9">
        <v>192948</v>
      </c>
      <c r="D345" s="9">
        <v>19806927</v>
      </c>
      <c r="E345" s="7" cm="1">
        <f t="array" ref="E345">_xlfn.XLOOKUP(1,(Лист2!$A$2:$A$505=A345)*(Лист2!$B$2:$B$505=B345),(Лист2!$C$2:$C$505))</f>
        <v>54</v>
      </c>
      <c r="F345" s="7" cm="1">
        <f t="array" ref="F345">_xlfn.XLOOKUP(1, (Лист2!$A$2:$A$505=A345)*(Лист2!$B$2:$B$505=B345), Лист2!$D$2:$D$505)</f>
        <v>12336</v>
      </c>
      <c r="G345" s="7" cm="1">
        <f t="array" ref="G345">_xlfn.XLOOKUP(1, (Лист2!$A$2:$A$505=A345)*(Лист2!$B$2:$B$505=B345), Лист2!$E$2:$E$505)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5">
      <c r="A346" s="5">
        <v>43951</v>
      </c>
      <c r="B346" s="6" t="s">
        <v>22</v>
      </c>
      <c r="C346" s="6">
        <v>206038.5</v>
      </c>
      <c r="D346" s="6">
        <v>21740460</v>
      </c>
      <c r="E346" s="7" cm="1">
        <f t="array" ref="E346">_xlfn.XLOOKUP(1,(Лист2!$A$2:$A$505=A346)*(Лист2!$B$2:$B$505=B346),(Лист2!$C$2:$C$505))</f>
        <v>54</v>
      </c>
      <c r="F346" s="7" cm="1">
        <f t="array" ref="F346">_xlfn.XLOOKUP(1, (Лист2!$A$2:$A$505=A346)*(Лист2!$B$2:$B$505=B346), Лист2!$D$2:$D$505)</f>
        <v>12817</v>
      </c>
      <c r="G346" s="7" cm="1">
        <f t="array" ref="G346">_xlfn.XLOOKUP(1, (Лист2!$A$2:$A$505=A346)*(Лист2!$B$2:$B$505=B346), Лист2!$E$2:$E$505)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5">
      <c r="A347" s="8">
        <v>43961</v>
      </c>
      <c r="B347" s="9" t="s">
        <v>22</v>
      </c>
      <c r="C347" s="9">
        <v>231559.5</v>
      </c>
      <c r="D347" s="9">
        <v>23443725</v>
      </c>
      <c r="E347" s="7" cm="1">
        <f t="array" ref="E347">_xlfn.XLOOKUP(1,(Лист2!$A$2:$A$505=A347)*(Лист2!$B$2:$B$505=B347),(Лист2!$C$2:$C$505))</f>
        <v>54</v>
      </c>
      <c r="F347" s="7" cm="1">
        <f t="array" ref="F347">_xlfn.XLOOKUP(1, (Лист2!$A$2:$A$505=A347)*(Лист2!$B$2:$B$505=B347), Лист2!$D$2:$D$505)</f>
        <v>13832</v>
      </c>
      <c r="G347" s="7" cm="1">
        <f t="array" ref="G347">_xlfn.XLOOKUP(1, (Лист2!$A$2:$A$505=A347)*(Лист2!$B$2:$B$505=B347), Лист2!$E$2:$E$505)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5">
      <c r="A348" s="5">
        <v>43959</v>
      </c>
      <c r="B348" s="6" t="s">
        <v>22</v>
      </c>
      <c r="C348" s="6">
        <v>225076.5</v>
      </c>
      <c r="D348" s="6">
        <v>22846078.5</v>
      </c>
      <c r="E348" s="7" cm="1">
        <f t="array" ref="E348">_xlfn.XLOOKUP(1,(Лист2!$A$2:$A$505=A348)*(Лист2!$B$2:$B$505=B348),(Лист2!$C$2:$C$505))</f>
        <v>54</v>
      </c>
      <c r="F348" s="7" cm="1">
        <f t="array" ref="F348">_xlfn.XLOOKUP(1, (Лист2!$A$2:$A$505=A348)*(Лист2!$B$2:$B$505=B348), Лист2!$D$2:$D$505)</f>
        <v>13563</v>
      </c>
      <c r="G348" s="7" cm="1">
        <f t="array" ref="G348">_xlfn.XLOOKUP(1, (Лист2!$A$2:$A$505=A348)*(Лист2!$B$2:$B$505=B348), Лист2!$E$2:$E$505)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5">
      <c r="A349" s="8">
        <v>43958</v>
      </c>
      <c r="B349" s="9" t="s">
        <v>22</v>
      </c>
      <c r="C349" s="9">
        <v>209415</v>
      </c>
      <c r="D349" s="9">
        <v>21463023</v>
      </c>
      <c r="E349" s="7" cm="1">
        <f t="array" ref="E349">_xlfn.XLOOKUP(1,(Лист2!$A$2:$A$505=A349)*(Лист2!$B$2:$B$505=B349),(Лист2!$C$2:$C$505))</f>
        <v>54</v>
      </c>
      <c r="F349" s="7" cm="1">
        <f t="array" ref="F349">_xlfn.XLOOKUP(1, (Лист2!$A$2:$A$505=A349)*(Лист2!$B$2:$B$505=B349), Лист2!$D$2:$D$505)</f>
        <v>12743</v>
      </c>
      <c r="G349" s="7" cm="1">
        <f t="array" ref="G349">_xlfn.XLOOKUP(1, (Лист2!$A$2:$A$505=A349)*(Лист2!$B$2:$B$505=B349), Лист2!$E$2:$E$505)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5">
      <c r="A350" s="5">
        <v>43975</v>
      </c>
      <c r="B350" s="6" t="s">
        <v>22</v>
      </c>
      <c r="C350" s="6">
        <v>193719</v>
      </c>
      <c r="D350" s="6">
        <v>19071117</v>
      </c>
      <c r="E350" s="7" cm="1">
        <f t="array" ref="E350">_xlfn.XLOOKUP(1,(Лист2!$A$2:$A$505=A350)*(Лист2!$B$2:$B$505=B350),(Лист2!$C$2:$C$505))</f>
        <v>54</v>
      </c>
      <c r="F350" s="7" cm="1">
        <f t="array" ref="F350">_xlfn.XLOOKUP(1, (Лист2!$A$2:$A$505=A350)*(Лист2!$B$2:$B$505=B350), Лист2!$D$2:$D$505)</f>
        <v>12211</v>
      </c>
      <c r="G350" s="7" cm="1">
        <f t="array" ref="G350">_xlfn.XLOOKUP(1, (Лист2!$A$2:$A$505=A350)*(Лист2!$B$2:$B$505=B350), Лист2!$E$2:$E$505)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5">
      <c r="A351" s="8">
        <v>43950</v>
      </c>
      <c r="B351" s="9" t="s">
        <v>23</v>
      </c>
      <c r="C351" s="9">
        <v>12250.5</v>
      </c>
      <c r="D351" s="9">
        <v>981519</v>
      </c>
      <c r="E351" s="7" cm="1">
        <f t="array" ref="E351">_xlfn.XLOOKUP(1,(Лист2!$A$2:$A$505=A351)*(Лист2!$B$2:$B$505=B351),(Лист2!$C$2:$C$505))</f>
        <v>15</v>
      </c>
      <c r="F351" s="7" cm="1">
        <f t="array" ref="F351">_xlfn.XLOOKUP(1, (Лист2!$A$2:$A$505=A351)*(Лист2!$B$2:$B$505=B351), Лист2!$D$2:$D$505)</f>
        <v>659</v>
      </c>
      <c r="G351" s="7" cm="1">
        <f t="array" ref="G351">_xlfn.XLOOKUP(1, (Лист2!$A$2:$A$505=A351)*(Лист2!$B$2:$B$505=B351), Лист2!$E$2:$E$505)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5">
      <c r="A352" s="5">
        <v>43949</v>
      </c>
      <c r="B352" s="6" t="s">
        <v>23</v>
      </c>
      <c r="C352" s="6">
        <v>12541.5</v>
      </c>
      <c r="D352" s="6">
        <v>992541</v>
      </c>
      <c r="E352" s="7" cm="1">
        <f t="array" ref="E352">_xlfn.XLOOKUP(1,(Лист2!$A$2:$A$505=A352)*(Лист2!$B$2:$B$505=B352),(Лист2!$C$2:$C$505))</f>
        <v>15</v>
      </c>
      <c r="F352" s="7" cm="1">
        <f t="array" ref="F352">_xlfn.XLOOKUP(1, (Лист2!$A$2:$A$505=A352)*(Лист2!$B$2:$B$505=B352), Лист2!$D$2:$D$505)</f>
        <v>636</v>
      </c>
      <c r="G352" s="7" cm="1">
        <f t="array" ref="G352">_xlfn.XLOOKUP(1, (Лист2!$A$2:$A$505=A352)*(Лист2!$B$2:$B$505=B352), Лист2!$E$2:$E$505)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5">
      <c r="A353" s="8">
        <v>43982</v>
      </c>
      <c r="B353" s="9" t="s">
        <v>22</v>
      </c>
      <c r="C353" s="9">
        <v>206758.5</v>
      </c>
      <c r="D353" s="9">
        <v>20717248.5</v>
      </c>
      <c r="E353" s="7" cm="1">
        <f t="array" ref="E353">_xlfn.XLOOKUP(1,(Лист2!$A$2:$A$505=A353)*(Лист2!$B$2:$B$505=B353),(Лист2!$C$2:$C$505))</f>
        <v>54</v>
      </c>
      <c r="F353" s="7" cm="1">
        <f t="array" ref="F353">_xlfn.XLOOKUP(1, (Лист2!$A$2:$A$505=A353)*(Лист2!$B$2:$B$505=B353), Лист2!$D$2:$D$505)</f>
        <v>13106</v>
      </c>
      <c r="G353" s="7" cm="1">
        <f t="array" ref="G353">_xlfn.XLOOKUP(1, (Лист2!$A$2:$A$505=A353)*(Лист2!$B$2:$B$505=B353), Лист2!$E$2:$E$505)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35">
      <c r="A354" s="5">
        <v>43981</v>
      </c>
      <c r="B354" s="6" t="s">
        <v>22</v>
      </c>
      <c r="C354" s="6">
        <v>244734</v>
      </c>
      <c r="D354" s="6">
        <v>24151980</v>
      </c>
      <c r="E354" s="7" cm="1">
        <f t="array" ref="E354">_xlfn.XLOOKUP(1,(Лист2!$A$2:$A$505=A354)*(Лист2!$B$2:$B$505=B354),(Лист2!$C$2:$C$505))</f>
        <v>54</v>
      </c>
      <c r="F354" s="7" cm="1">
        <f t="array" ref="F354">_xlfn.XLOOKUP(1, (Лист2!$A$2:$A$505=A354)*(Лист2!$B$2:$B$505=B354), Лист2!$D$2:$D$505)</f>
        <v>14590</v>
      </c>
      <c r="G354" s="7" cm="1">
        <f t="array" ref="G354">_xlfn.XLOOKUP(1, (Лист2!$A$2:$A$505=A354)*(Лист2!$B$2:$B$505=B354), Лист2!$E$2:$E$505)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5">
      <c r="A355" s="8">
        <v>43979</v>
      </c>
      <c r="B355" s="9" t="s">
        <v>22</v>
      </c>
      <c r="C355" s="9">
        <v>191641.5</v>
      </c>
      <c r="D355" s="9">
        <v>19549036.5</v>
      </c>
      <c r="E355" s="7" cm="1">
        <f t="array" ref="E355">_xlfn.XLOOKUP(1,(Лист2!$A$2:$A$505=A355)*(Лист2!$B$2:$B$505=B355),(Лист2!$C$2:$C$505))</f>
        <v>54</v>
      </c>
      <c r="F355" s="7" cm="1">
        <f t="array" ref="F355">_xlfn.XLOOKUP(1, (Лист2!$A$2:$A$505=A355)*(Лист2!$B$2:$B$505=B355), Лист2!$D$2:$D$505)</f>
        <v>12409</v>
      </c>
      <c r="G355" s="7" cm="1">
        <f t="array" ref="G355">_xlfn.XLOOKUP(1, (Лист2!$A$2:$A$505=A355)*(Лист2!$B$2:$B$505=B355), Лист2!$E$2:$E$505)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5">
      <c r="A356" s="5">
        <v>43967</v>
      </c>
      <c r="B356" s="6" t="s">
        <v>23</v>
      </c>
      <c r="C356" s="6">
        <v>16368</v>
      </c>
      <c r="D356" s="6">
        <v>1316350.5</v>
      </c>
      <c r="E356" s="7" cm="1">
        <f t="array" ref="E356">_xlfn.XLOOKUP(1,(Лист2!$A$2:$A$505=A356)*(Лист2!$B$2:$B$505=B356),(Лист2!$C$2:$C$505))</f>
        <v>16</v>
      </c>
      <c r="F356" s="7" cm="1">
        <f t="array" ref="F356">_xlfn.XLOOKUP(1, (Лист2!$A$2:$A$505=A356)*(Лист2!$B$2:$B$505=B356), Лист2!$D$2:$D$505)</f>
        <v>920</v>
      </c>
      <c r="G356" s="7" cm="1">
        <f t="array" ref="G356">_xlfn.XLOOKUP(1, (Лист2!$A$2:$A$505=A356)*(Лист2!$B$2:$B$505=B356), Лист2!$E$2:$E$505)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5">
      <c r="A357" s="8">
        <v>43970</v>
      </c>
      <c r="B357" s="9" t="s">
        <v>23</v>
      </c>
      <c r="C357" s="9">
        <v>14427</v>
      </c>
      <c r="D357" s="9">
        <v>1126810.5</v>
      </c>
      <c r="E357" s="7" cm="1">
        <f t="array" ref="E357">_xlfn.XLOOKUP(1,(Лист2!$A$2:$A$505=A357)*(Лист2!$B$2:$B$505=B357),(Лист2!$C$2:$C$505))</f>
        <v>17</v>
      </c>
      <c r="F357" s="7" cm="1">
        <f t="array" ref="F357">_xlfn.XLOOKUP(1, (Лист2!$A$2:$A$505=A357)*(Лист2!$B$2:$B$505=B357), Лист2!$D$2:$D$505)</f>
        <v>857</v>
      </c>
      <c r="G357" s="7" cm="1">
        <f t="array" ref="G357">_xlfn.XLOOKUP(1, (Лист2!$A$2:$A$505=A357)*(Лист2!$B$2:$B$505=B357), Лист2!$E$2:$E$505)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5">
      <c r="A358" s="5">
        <v>43968</v>
      </c>
      <c r="B358" s="6" t="s">
        <v>23</v>
      </c>
      <c r="C358" s="6">
        <v>13440</v>
      </c>
      <c r="D358" s="6">
        <v>1157529</v>
      </c>
      <c r="E358" s="7" cm="1">
        <f t="array" ref="E358">_xlfn.XLOOKUP(1,(Лист2!$A$2:$A$505=A358)*(Лист2!$B$2:$B$505=B358),(Лист2!$C$2:$C$505))</f>
        <v>16</v>
      </c>
      <c r="F358" s="7" cm="1">
        <f t="array" ref="F358">_xlfn.XLOOKUP(1, (Лист2!$A$2:$A$505=A358)*(Лист2!$B$2:$B$505=B358), Лист2!$D$2:$D$505)</f>
        <v>859</v>
      </c>
      <c r="G358" s="7" cm="1">
        <f t="array" ref="G358">_xlfn.XLOOKUP(1, (Лист2!$A$2:$A$505=A358)*(Лист2!$B$2:$B$505=B358), Лист2!$E$2:$E$505)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35">
      <c r="A359" s="8">
        <v>43960</v>
      </c>
      <c r="B359" s="9" t="s">
        <v>23</v>
      </c>
      <c r="C359" s="9">
        <v>11745</v>
      </c>
      <c r="D359" s="9">
        <v>955801.5</v>
      </c>
      <c r="E359" s="7" cm="1">
        <f t="array" ref="E359">_xlfn.XLOOKUP(1,(Лист2!$A$2:$A$505=A359)*(Лист2!$B$2:$B$505=B359),(Лист2!$C$2:$C$505))</f>
        <v>15</v>
      </c>
      <c r="F359" s="7" cm="1">
        <f t="array" ref="F359">_xlfn.XLOOKUP(1, (Лист2!$A$2:$A$505=A359)*(Лист2!$B$2:$B$505=B359), Лист2!$D$2:$D$505)</f>
        <v>654</v>
      </c>
      <c r="G359" s="7" cm="1">
        <f t="array" ref="G359">_xlfn.XLOOKUP(1, (Лист2!$A$2:$A$505=A359)*(Лист2!$B$2:$B$505=B359), Лист2!$E$2:$E$505)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5">
      <c r="A360" s="5">
        <v>43955</v>
      </c>
      <c r="B360" s="6" t="s">
        <v>23</v>
      </c>
      <c r="C360" s="6">
        <v>11062.5</v>
      </c>
      <c r="D360" s="6">
        <v>906343.5</v>
      </c>
      <c r="E360" s="7" cm="1">
        <f t="array" ref="E360">_xlfn.XLOOKUP(1,(Лист2!$A$2:$A$505=A360)*(Лист2!$B$2:$B$505=B360),(Лист2!$C$2:$C$505))</f>
        <v>15</v>
      </c>
      <c r="F360" s="7" cm="1">
        <f t="array" ref="F360">_xlfn.XLOOKUP(1, (Лист2!$A$2:$A$505=A360)*(Лист2!$B$2:$B$505=B360), Лист2!$D$2:$D$505)</f>
        <v>622</v>
      </c>
      <c r="G360" s="7" cm="1">
        <f t="array" ref="G360">_xlfn.XLOOKUP(1, (Лист2!$A$2:$A$505=A360)*(Лист2!$B$2:$B$505=B360), Лист2!$E$2:$E$505)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5">
      <c r="A361" s="8">
        <v>43953</v>
      </c>
      <c r="B361" s="9" t="s">
        <v>23</v>
      </c>
      <c r="C361" s="9">
        <v>10018.5</v>
      </c>
      <c r="D361" s="9">
        <v>816859.5</v>
      </c>
      <c r="E361" s="7" cm="1">
        <f t="array" ref="E361">_xlfn.XLOOKUP(1,(Лист2!$A$2:$A$505=A361)*(Лист2!$B$2:$B$505=B361),(Лист2!$C$2:$C$505))</f>
        <v>15</v>
      </c>
      <c r="F361" s="7" cm="1">
        <f t="array" ref="F361">_xlfn.XLOOKUP(1, (Лист2!$A$2:$A$505=A361)*(Лист2!$B$2:$B$505=B361), Лист2!$D$2:$D$505)</f>
        <v>567</v>
      </c>
      <c r="G361" s="7" cm="1">
        <f t="array" ref="G361">_xlfn.XLOOKUP(1, (Лист2!$A$2:$A$505=A361)*(Лист2!$B$2:$B$505=B361), Лист2!$E$2:$E$505)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5">
      <c r="A362" s="5">
        <v>43977</v>
      </c>
      <c r="B362" s="6" t="s">
        <v>24</v>
      </c>
      <c r="C362" s="6">
        <v>10437</v>
      </c>
      <c r="D362" s="6">
        <v>833815.5</v>
      </c>
      <c r="E362" s="7" cm="1">
        <f t="array" ref="E362">_xlfn.XLOOKUP(1,(Лист2!$A$2:$A$505=A362)*(Лист2!$B$2:$B$505=B362),(Лист2!$C$2:$C$505))</f>
        <v>7</v>
      </c>
      <c r="F362" s="7" cm="1">
        <f t="array" ref="F362">_xlfn.XLOOKUP(1, (Лист2!$A$2:$A$505=A362)*(Лист2!$B$2:$B$505=B362), Лист2!$D$2:$D$505)</f>
        <v>577</v>
      </c>
      <c r="G362" s="7" cm="1">
        <f t="array" ref="G362">_xlfn.XLOOKUP(1, (Лист2!$A$2:$A$505=A362)*(Лист2!$B$2:$B$505=B362), Лист2!$E$2:$E$505)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5">
      <c r="A363" s="8">
        <v>43952</v>
      </c>
      <c r="B363" s="9" t="s">
        <v>23</v>
      </c>
      <c r="C363" s="9">
        <v>13644</v>
      </c>
      <c r="D363" s="9">
        <v>1134444</v>
      </c>
      <c r="E363" s="7" cm="1">
        <f t="array" ref="E363">_xlfn.XLOOKUP(1,(Лист2!$A$2:$A$505=A363)*(Лист2!$B$2:$B$505=B363),(Лист2!$C$2:$C$505))</f>
        <v>15</v>
      </c>
      <c r="F363" s="7" cm="1">
        <f t="array" ref="F363">_xlfn.XLOOKUP(1, (Лист2!$A$2:$A$505=A363)*(Лист2!$B$2:$B$505=B363), Лист2!$D$2:$D$505)</f>
        <v>721</v>
      </c>
      <c r="G363" s="7" cm="1">
        <f t="array" ref="G363">_xlfn.XLOOKUP(1, (Лист2!$A$2:$A$505=A363)*(Лист2!$B$2:$B$505=B363), Лист2!$E$2:$E$505)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5">
      <c r="A364" s="5">
        <v>43963</v>
      </c>
      <c r="B364" s="6" t="s">
        <v>23</v>
      </c>
      <c r="C364" s="6">
        <v>13443</v>
      </c>
      <c r="D364" s="6">
        <v>1092277.5</v>
      </c>
      <c r="E364" s="7" cm="1">
        <f t="array" ref="E364">_xlfn.XLOOKUP(1,(Лист2!$A$2:$A$505=A364)*(Лист2!$B$2:$B$505=B364),(Лист2!$C$2:$C$505))</f>
        <v>15</v>
      </c>
      <c r="F364" s="7" cm="1">
        <f t="array" ref="F364">_xlfn.XLOOKUP(1, (Лист2!$A$2:$A$505=A364)*(Лист2!$B$2:$B$505=B364), Лист2!$D$2:$D$505)</f>
        <v>750</v>
      </c>
      <c r="G364" s="7" cm="1">
        <f t="array" ref="G364">_xlfn.XLOOKUP(1, (Лист2!$A$2:$A$505=A364)*(Лист2!$B$2:$B$505=B364), Лист2!$E$2:$E$505)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5">
      <c r="A365" s="8">
        <v>43972</v>
      </c>
      <c r="B365" s="9" t="s">
        <v>23</v>
      </c>
      <c r="C365" s="9">
        <v>14182.5</v>
      </c>
      <c r="D365" s="9">
        <v>1172574</v>
      </c>
      <c r="E365" s="7" cm="1">
        <f t="array" ref="E365">_xlfn.XLOOKUP(1,(Лист2!$A$2:$A$505=A365)*(Лист2!$B$2:$B$505=B365),(Лист2!$C$2:$C$505))</f>
        <v>18</v>
      </c>
      <c r="F365" s="7" cm="1">
        <f t="array" ref="F365">_xlfn.XLOOKUP(1, (Лист2!$A$2:$A$505=A365)*(Лист2!$B$2:$B$505=B365), Лист2!$D$2:$D$505)</f>
        <v>888</v>
      </c>
      <c r="G365" s="7" cm="1">
        <f t="array" ref="G365">_xlfn.XLOOKUP(1, (Лист2!$A$2:$A$505=A365)*(Лист2!$B$2:$B$505=B365), Лист2!$E$2:$E$505)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5">
      <c r="A366" s="5">
        <v>43971</v>
      </c>
      <c r="B366" s="6" t="s">
        <v>23</v>
      </c>
      <c r="C366" s="6">
        <v>14928</v>
      </c>
      <c r="D366" s="6">
        <v>1217749.5</v>
      </c>
      <c r="E366" s="7" cm="1">
        <f t="array" ref="E366">_xlfn.XLOOKUP(1,(Лист2!$A$2:$A$505=A366)*(Лист2!$B$2:$B$505=B366),(Лист2!$C$2:$C$505))</f>
        <v>17</v>
      </c>
      <c r="F366" s="7" cm="1">
        <f t="array" ref="F366">_xlfn.XLOOKUP(1, (Лист2!$A$2:$A$505=A366)*(Лист2!$B$2:$B$505=B366), Лист2!$D$2:$D$505)</f>
        <v>890</v>
      </c>
      <c r="G366" s="7" cm="1">
        <f t="array" ref="G366">_xlfn.XLOOKUP(1, (Лист2!$A$2:$A$505=A366)*(Лист2!$B$2:$B$505=B366), Лист2!$E$2:$E$505)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5">
      <c r="A367" s="8">
        <v>43956</v>
      </c>
      <c r="B367" s="9" t="s">
        <v>23</v>
      </c>
      <c r="C367" s="9">
        <v>13941</v>
      </c>
      <c r="D367" s="9">
        <v>1145575.5</v>
      </c>
      <c r="E367" s="7" cm="1">
        <f t="array" ref="E367">_xlfn.XLOOKUP(1,(Лист2!$A$2:$A$505=A367)*(Лист2!$B$2:$B$505=B367),(Лист2!$C$2:$C$505))</f>
        <v>15</v>
      </c>
      <c r="F367" s="7" cm="1">
        <f t="array" ref="F367">_xlfn.XLOOKUP(1, (Лист2!$A$2:$A$505=A367)*(Лист2!$B$2:$B$505=B367), Лист2!$D$2:$D$505)</f>
        <v>750</v>
      </c>
      <c r="G367" s="7" cm="1">
        <f t="array" ref="G367">_xlfn.XLOOKUP(1, (Лист2!$A$2:$A$505=A367)*(Лист2!$B$2:$B$505=B367), Лист2!$E$2:$E$505)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5">
      <c r="A368" s="5">
        <v>43964</v>
      </c>
      <c r="B368" s="6" t="s">
        <v>23</v>
      </c>
      <c r="C368" s="6">
        <v>14643</v>
      </c>
      <c r="D368" s="6">
        <v>1172691</v>
      </c>
      <c r="E368" s="7" cm="1">
        <f t="array" ref="E368">_xlfn.XLOOKUP(1,(Лист2!$A$2:$A$505=A368)*(Лист2!$B$2:$B$505=B368),(Лист2!$C$2:$C$505))</f>
        <v>15</v>
      </c>
      <c r="F368" s="7" cm="1">
        <f t="array" ref="F368">_xlfn.XLOOKUP(1, (Лист2!$A$2:$A$505=A368)*(Лист2!$B$2:$B$505=B368), Лист2!$D$2:$D$505)</f>
        <v>854</v>
      </c>
      <c r="G368" s="7" cm="1">
        <f t="array" ref="G368">_xlfn.XLOOKUP(1, (Лист2!$A$2:$A$505=A368)*(Лист2!$B$2:$B$505=B368), Лист2!$E$2:$E$505)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5">
      <c r="A369" s="8">
        <v>43954</v>
      </c>
      <c r="B369" s="9" t="s">
        <v>23</v>
      </c>
      <c r="C369" s="9">
        <v>10032</v>
      </c>
      <c r="D369" s="9">
        <v>816150</v>
      </c>
      <c r="E369" s="7" cm="1">
        <f t="array" ref="E369">_xlfn.XLOOKUP(1,(Лист2!$A$2:$A$505=A369)*(Лист2!$B$2:$B$505=B369),(Лист2!$C$2:$C$505))</f>
        <v>15</v>
      </c>
      <c r="F369" s="7" cm="1">
        <f t="array" ref="F369">_xlfn.XLOOKUP(1, (Лист2!$A$2:$A$505=A369)*(Лист2!$B$2:$B$505=B369), Лист2!$D$2:$D$505)</f>
        <v>585</v>
      </c>
      <c r="G369" s="7" cm="1">
        <f t="array" ref="G369">_xlfn.XLOOKUP(1, (Лист2!$A$2:$A$505=A369)*(Лист2!$B$2:$B$505=B369), Лист2!$E$2:$E$505)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35">
      <c r="A370" s="5">
        <v>43957</v>
      </c>
      <c r="B370" s="6" t="s">
        <v>23</v>
      </c>
      <c r="C370" s="6">
        <v>12468</v>
      </c>
      <c r="D370" s="6">
        <v>1016566.5</v>
      </c>
      <c r="E370" s="7" cm="1">
        <f t="array" ref="E370">_xlfn.XLOOKUP(1,(Лист2!$A$2:$A$505=A370)*(Лист2!$B$2:$B$505=B370),(Лист2!$C$2:$C$505))</f>
        <v>15</v>
      </c>
      <c r="F370" s="7" cm="1">
        <f t="array" ref="F370">_xlfn.XLOOKUP(1, (Лист2!$A$2:$A$505=A370)*(Лист2!$B$2:$B$505=B370), Лист2!$D$2:$D$505)</f>
        <v>701</v>
      </c>
      <c r="G370" s="7" cm="1">
        <f t="array" ref="G370">_xlfn.XLOOKUP(1, (Лист2!$A$2:$A$505=A370)*(Лист2!$B$2:$B$505=B370), Лист2!$E$2:$E$505)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5">
      <c r="A371" s="8">
        <v>43974</v>
      </c>
      <c r="B371" s="9" t="s">
        <v>23</v>
      </c>
      <c r="C371" s="9">
        <v>17943</v>
      </c>
      <c r="D371" s="9">
        <v>1457391</v>
      </c>
      <c r="E371" s="7" cm="1">
        <f t="array" ref="E371">_xlfn.XLOOKUP(1,(Лист2!$A$2:$A$505=A371)*(Лист2!$B$2:$B$505=B371),(Лист2!$C$2:$C$505))</f>
        <v>18</v>
      </c>
      <c r="F371" s="7" cm="1">
        <f t="array" ref="F371">_xlfn.XLOOKUP(1, (Лист2!$A$2:$A$505=A371)*(Лист2!$B$2:$B$505=B371), Лист2!$D$2:$D$505)</f>
        <v>1031</v>
      </c>
      <c r="G371" s="7" cm="1">
        <f t="array" ref="G371">_xlfn.XLOOKUP(1, (Лист2!$A$2:$A$505=A371)*(Лист2!$B$2:$B$505=B371), Лист2!$E$2:$E$505)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5">
      <c r="A372" s="5">
        <v>43976</v>
      </c>
      <c r="B372" s="6" t="s">
        <v>23</v>
      </c>
      <c r="C372" s="6">
        <v>15807</v>
      </c>
      <c r="D372" s="6">
        <v>1326705</v>
      </c>
      <c r="E372" s="7" cm="1">
        <f t="array" ref="E372">_xlfn.XLOOKUP(1,(Лист2!$A$2:$A$505=A372)*(Лист2!$B$2:$B$505=B372),(Лист2!$C$2:$C$505))</f>
        <v>18</v>
      </c>
      <c r="F372" s="7" cm="1">
        <f t="array" ref="F372">_xlfn.XLOOKUP(1, (Лист2!$A$2:$A$505=A372)*(Лист2!$B$2:$B$505=B372), Лист2!$D$2:$D$505)</f>
        <v>989</v>
      </c>
      <c r="G372" s="7" cm="1">
        <f t="array" ref="G372">_xlfn.XLOOKUP(1, (Лист2!$A$2:$A$505=A372)*(Лист2!$B$2:$B$505=B372), Лист2!$E$2:$E$505)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5">
      <c r="A373" s="8">
        <v>43951</v>
      </c>
      <c r="B373" s="9" t="s">
        <v>23</v>
      </c>
      <c r="C373" s="9">
        <v>11976</v>
      </c>
      <c r="D373" s="9">
        <v>1004511</v>
      </c>
      <c r="E373" s="7" cm="1">
        <f t="array" ref="E373">_xlfn.XLOOKUP(1,(Лист2!$A$2:$A$505=A373)*(Лист2!$B$2:$B$505=B373),(Лист2!$C$2:$C$505))</f>
        <v>15</v>
      </c>
      <c r="F373" s="7" cm="1">
        <f t="array" ref="F373">_xlfn.XLOOKUP(1, (Лист2!$A$2:$A$505=A373)*(Лист2!$B$2:$B$505=B373), Лист2!$D$2:$D$505)</f>
        <v>644</v>
      </c>
      <c r="G373" s="7" cm="1">
        <f t="array" ref="G373">_xlfn.XLOOKUP(1, (Лист2!$A$2:$A$505=A373)*(Лист2!$B$2:$B$505=B373), Лист2!$E$2:$E$505)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5">
      <c r="A374" s="5">
        <v>43961</v>
      </c>
      <c r="B374" s="6" t="s">
        <v>23</v>
      </c>
      <c r="C374" s="6">
        <v>14566.5</v>
      </c>
      <c r="D374" s="6">
        <v>1216557</v>
      </c>
      <c r="E374" s="7" cm="1">
        <f t="array" ref="E374">_xlfn.XLOOKUP(1,(Лист2!$A$2:$A$505=A374)*(Лист2!$B$2:$B$505=B374),(Лист2!$C$2:$C$505))</f>
        <v>15</v>
      </c>
      <c r="F374" s="7" cm="1">
        <f t="array" ref="F374">_xlfn.XLOOKUP(1, (Лист2!$A$2:$A$505=A374)*(Лист2!$B$2:$B$505=B374), Лист2!$D$2:$D$505)</f>
        <v>792</v>
      </c>
      <c r="G374" s="7" cm="1">
        <f t="array" ref="G374">_xlfn.XLOOKUP(1, (Лист2!$A$2:$A$505=A374)*(Лист2!$B$2:$B$505=B374), Лист2!$E$2:$E$505)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35">
      <c r="A375" s="8">
        <v>43959</v>
      </c>
      <c r="B375" s="9" t="s">
        <v>23</v>
      </c>
      <c r="C375" s="9">
        <v>12976.5</v>
      </c>
      <c r="D375" s="9">
        <v>1046848.5</v>
      </c>
      <c r="E375" s="7" cm="1">
        <f t="array" ref="E375">_xlfn.XLOOKUP(1,(Лист2!$A$2:$A$505=A375)*(Лист2!$B$2:$B$505=B375),(Лист2!$C$2:$C$505))</f>
        <v>15</v>
      </c>
      <c r="F375" s="7" cm="1">
        <f t="array" ref="F375">_xlfn.XLOOKUP(1, (Лист2!$A$2:$A$505=A375)*(Лист2!$B$2:$B$505=B375), Лист2!$D$2:$D$505)</f>
        <v>703</v>
      </c>
      <c r="G375" s="7" cm="1">
        <f t="array" ref="G375">_xlfn.XLOOKUP(1, (Лист2!$A$2:$A$505=A375)*(Лист2!$B$2:$B$505=B375), Лист2!$E$2:$E$505)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5">
      <c r="A376" s="5">
        <v>43958</v>
      </c>
      <c r="B376" s="6" t="s">
        <v>23</v>
      </c>
      <c r="C376" s="6">
        <v>11719.5</v>
      </c>
      <c r="D376" s="6">
        <v>965880</v>
      </c>
      <c r="E376" s="7" cm="1">
        <f t="array" ref="E376">_xlfn.XLOOKUP(1,(Лист2!$A$2:$A$505=A376)*(Лист2!$B$2:$B$505=B376),(Лист2!$C$2:$C$505))</f>
        <v>15</v>
      </c>
      <c r="F376" s="7" cm="1">
        <f t="array" ref="F376">_xlfn.XLOOKUP(1, (Лист2!$A$2:$A$505=A376)*(Лист2!$B$2:$B$505=B376), Лист2!$D$2:$D$505)</f>
        <v>676</v>
      </c>
      <c r="G376" s="7" cm="1">
        <f t="array" ref="G376">_xlfn.XLOOKUP(1, (Лист2!$A$2:$A$505=A376)*(Лист2!$B$2:$B$505=B376), Лист2!$E$2:$E$505)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5">
      <c r="A377" s="8">
        <v>43975</v>
      </c>
      <c r="B377" s="9" t="s">
        <v>23</v>
      </c>
      <c r="C377" s="9">
        <v>17197.5</v>
      </c>
      <c r="D377" s="9">
        <v>1386262.5</v>
      </c>
      <c r="E377" s="7" cm="1">
        <f t="array" ref="E377">_xlfn.XLOOKUP(1,(Лист2!$A$2:$A$505=A377)*(Лист2!$B$2:$B$505=B377),(Лист2!$C$2:$C$505))</f>
        <v>18</v>
      </c>
      <c r="F377" s="7" cm="1">
        <f t="array" ref="F377">_xlfn.XLOOKUP(1, (Лист2!$A$2:$A$505=A377)*(Лист2!$B$2:$B$505=B377), Лист2!$D$2:$D$505)</f>
        <v>1006</v>
      </c>
      <c r="G377" s="7" cm="1">
        <f t="array" ref="G377">_xlfn.XLOOKUP(1, (Лист2!$A$2:$A$505=A377)*(Лист2!$B$2:$B$505=B377), Лист2!$E$2:$E$505)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5">
      <c r="A378" s="5">
        <v>43977</v>
      </c>
      <c r="B378" s="6" t="s">
        <v>23</v>
      </c>
      <c r="C378" s="6">
        <v>14419.5</v>
      </c>
      <c r="D378" s="6">
        <v>1210456.5</v>
      </c>
      <c r="E378" s="7" cm="1">
        <f t="array" ref="E378">_xlfn.XLOOKUP(1,(Лист2!$A$2:$A$505=A378)*(Лист2!$B$2:$B$505=B378),(Лист2!$C$2:$C$505))</f>
        <v>18</v>
      </c>
      <c r="F378" s="7" cm="1">
        <f t="array" ref="F378">_xlfn.XLOOKUP(1, (Лист2!$A$2:$A$505=A378)*(Лист2!$B$2:$B$505=B378), Лист2!$D$2:$D$505)</f>
        <v>914</v>
      </c>
      <c r="G378" s="7" cm="1">
        <f t="array" ref="G378">_xlfn.XLOOKUP(1, (Лист2!$A$2:$A$505=A378)*(Лист2!$B$2:$B$505=B378), Лист2!$E$2:$E$505)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5">
      <c r="A379" s="8">
        <v>43983</v>
      </c>
      <c r="B379" s="9" t="s">
        <v>9</v>
      </c>
      <c r="C379" s="9">
        <v>7816.5</v>
      </c>
      <c r="D379" s="9">
        <v>636345</v>
      </c>
      <c r="E379" s="7" cm="1">
        <f t="array" ref="E379">_xlfn.XLOOKUP(1,(Лист2!$A$2:$A$505=A379)*(Лист2!$B$2:$B$505=B379),(Лист2!$C$2:$C$505))</f>
        <v>15</v>
      </c>
      <c r="F379" s="7" cm="1">
        <f t="array" ref="F379">_xlfn.XLOOKUP(1, (Лист2!$A$2:$A$505=A379)*(Лист2!$B$2:$B$505=B379), Лист2!$D$2:$D$505)</f>
        <v>453</v>
      </c>
      <c r="G379" s="7" cm="1">
        <f t="array" ref="G379">_xlfn.XLOOKUP(1, (Лист2!$A$2:$A$505=A379)*(Лист2!$B$2:$B$505=B379), Лист2!$E$2:$E$505)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5">
      <c r="A380" s="5">
        <v>43982</v>
      </c>
      <c r="B380" s="6" t="s">
        <v>25</v>
      </c>
      <c r="C380" s="6">
        <v>6409.5</v>
      </c>
      <c r="D380" s="6">
        <v>493893</v>
      </c>
      <c r="E380" s="7" cm="1">
        <f t="array" ref="E380">_xlfn.XLOOKUP(1,(Лист2!$A$2:$A$505=A380)*(Лист2!$B$2:$B$505=B380),(Лист2!$C$2:$C$505))</f>
        <v>9</v>
      </c>
      <c r="F380" s="7" cm="1">
        <f t="array" ref="F380">_xlfn.XLOOKUP(1, (Лист2!$A$2:$A$505=A380)*(Лист2!$B$2:$B$505=B380), Лист2!$D$2:$D$505)</f>
        <v>345</v>
      </c>
      <c r="G380" s="7" cm="1">
        <f t="array" ref="G380">_xlfn.XLOOKUP(1, (Лист2!$A$2:$A$505=A380)*(Лист2!$B$2:$B$505=B380), Лист2!$E$2:$E$505)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35">
      <c r="A381" s="8">
        <v>43981</v>
      </c>
      <c r="B381" s="9" t="s">
        <v>24</v>
      </c>
      <c r="C381" s="9">
        <v>11220</v>
      </c>
      <c r="D381" s="9">
        <v>928675.5</v>
      </c>
      <c r="E381" s="7" cm="1">
        <f t="array" ref="E381">_xlfn.XLOOKUP(1,(Лист2!$A$2:$A$505=A381)*(Лист2!$B$2:$B$505=B381),(Лист2!$C$2:$C$505))</f>
        <v>7</v>
      </c>
      <c r="F381" s="7" cm="1">
        <f t="array" ref="F381">_xlfn.XLOOKUP(1, (Лист2!$A$2:$A$505=A381)*(Лист2!$B$2:$B$505=B381), Лист2!$D$2:$D$505)</f>
        <v>532</v>
      </c>
      <c r="G381" s="7" cm="1">
        <f t="array" ref="G381">_xlfn.XLOOKUP(1, (Лист2!$A$2:$A$505=A381)*(Лист2!$B$2:$B$505=B381), Лист2!$E$2:$E$505)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5">
      <c r="A382" s="5">
        <v>43980</v>
      </c>
      <c r="B382" s="6" t="s">
        <v>9</v>
      </c>
      <c r="C382" s="6">
        <v>8350.5</v>
      </c>
      <c r="D382" s="6">
        <v>651237</v>
      </c>
      <c r="E382" s="7" cm="1">
        <f t="array" ref="E382">_xlfn.XLOOKUP(1,(Лист2!$A$2:$A$505=A382)*(Лист2!$B$2:$B$505=B382),(Лист2!$C$2:$C$505))</f>
        <v>15</v>
      </c>
      <c r="F382" s="7" cm="1">
        <f t="array" ref="F382">_xlfn.XLOOKUP(1, (Лист2!$A$2:$A$505=A382)*(Лист2!$B$2:$B$505=B382), Лист2!$D$2:$D$505)</f>
        <v>400</v>
      </c>
      <c r="G382" s="7" cm="1">
        <f t="array" ref="G382">_xlfn.XLOOKUP(1, (Лист2!$A$2:$A$505=A382)*(Лист2!$B$2:$B$505=B382), Лист2!$E$2:$E$505)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5">
      <c r="A383" s="8">
        <v>43979</v>
      </c>
      <c r="B383" s="9" t="s">
        <v>24</v>
      </c>
      <c r="C383" s="9">
        <v>8428.5</v>
      </c>
      <c r="D383" s="9">
        <v>694669.5</v>
      </c>
      <c r="E383" s="7" cm="1">
        <f t="array" ref="E383">_xlfn.XLOOKUP(1,(Лист2!$A$2:$A$505=A383)*(Лист2!$B$2:$B$505=B383),(Лист2!$C$2:$C$505))</f>
        <v>7</v>
      </c>
      <c r="F383" s="7" cm="1">
        <f t="array" ref="F383">_xlfn.XLOOKUP(1, (Лист2!$A$2:$A$505=A383)*(Лист2!$B$2:$B$505=B383), Лист2!$D$2:$D$505)</f>
        <v>420</v>
      </c>
      <c r="G383" s="7" cm="1">
        <f t="array" ref="G383">_xlfn.XLOOKUP(1, (Лист2!$A$2:$A$505=A383)*(Лист2!$B$2:$B$505=B383), Лист2!$E$2:$E$505)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5">
      <c r="A384" s="5">
        <v>43978</v>
      </c>
      <c r="B384" s="6" t="s">
        <v>10</v>
      </c>
      <c r="C384" s="6">
        <v>32817</v>
      </c>
      <c r="D384" s="6">
        <v>3015751.5</v>
      </c>
      <c r="E384" s="7" cm="1">
        <f t="array" ref="E384">_xlfn.XLOOKUP(1,(Лист2!$A$2:$A$505=A384)*(Лист2!$B$2:$B$505=B384),(Лист2!$C$2:$C$505))</f>
        <v>20</v>
      </c>
      <c r="F384" s="7" cm="1">
        <f t="array" ref="F384">_xlfn.XLOOKUP(1, (Лист2!$A$2:$A$505=A384)*(Лист2!$B$2:$B$505=B384), Лист2!$D$2:$D$505)</f>
        <v>2079</v>
      </c>
      <c r="G384" s="7" cm="1">
        <f t="array" ref="G384">_xlfn.XLOOKUP(1, (Лист2!$A$2:$A$505=A384)*(Лист2!$B$2:$B$505=B384), Лист2!$E$2:$E$505)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5">
      <c r="A385" s="8">
        <v>43973</v>
      </c>
      <c r="B385" s="9" t="s">
        <v>10</v>
      </c>
      <c r="C385" s="9">
        <v>36031.5</v>
      </c>
      <c r="D385" s="9">
        <v>3091069.5</v>
      </c>
      <c r="E385" s="7" cm="1">
        <f t="array" ref="E385">_xlfn.XLOOKUP(1,(Лист2!$A$2:$A$505=A385)*(Лист2!$B$2:$B$505=B385),(Лист2!$C$2:$C$505))</f>
        <v>21</v>
      </c>
      <c r="F385" s="7" cm="1">
        <f t="array" ref="F385">_xlfn.XLOOKUP(1, (Лист2!$A$2:$A$505=A385)*(Лист2!$B$2:$B$505=B385), Лист2!$D$2:$D$505)</f>
        <v>2046</v>
      </c>
      <c r="G385" s="7" cm="1">
        <f t="array" ref="G385">_xlfn.XLOOKUP(1, (Лист2!$A$2:$A$505=A385)*(Лист2!$B$2:$B$505=B385), Лист2!$E$2:$E$505)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5">
      <c r="A386" s="5">
        <v>43982</v>
      </c>
      <c r="B386" s="6" t="s">
        <v>26</v>
      </c>
      <c r="C386" s="6">
        <v>5127</v>
      </c>
      <c r="D386" s="6">
        <v>468835.5</v>
      </c>
      <c r="E386" s="7" cm="1">
        <f t="array" ref="E386">_xlfn.XLOOKUP(1,(Лист2!$A$2:$A$505=A386)*(Лист2!$B$2:$B$505=B386),(Лист2!$C$2:$C$505))</f>
        <v>6</v>
      </c>
      <c r="F386" s="7" cm="1">
        <f t="array" ref="F386">_xlfn.XLOOKUP(1, (Лист2!$A$2:$A$505=A386)*(Лист2!$B$2:$B$505=B386), Лист2!$D$2:$D$505)</f>
        <v>261</v>
      </c>
      <c r="G386" s="7" cm="1">
        <f t="array" ref="G386">_xlfn.XLOOKUP(1, (Лист2!$A$2:$A$505=A386)*(Лист2!$B$2:$B$505=B386), Лист2!$E$2:$E$505)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35">
      <c r="A387" s="8">
        <v>43962</v>
      </c>
      <c r="B387" s="9" t="s">
        <v>10</v>
      </c>
      <c r="C387" s="9">
        <v>27187.5</v>
      </c>
      <c r="D387" s="9">
        <v>2479396.5</v>
      </c>
      <c r="E387" s="7" cm="1">
        <f t="array" ref="E387">_xlfn.XLOOKUP(1,(Лист2!$A$2:$A$505=A387)*(Лист2!$B$2:$B$505=B387),(Лист2!$C$2:$C$505))</f>
        <v>21</v>
      </c>
      <c r="F387" s="7" cm="1">
        <f t="array" ref="F387">_xlfn.XLOOKUP(1, (Лист2!$A$2:$A$505=A387)*(Лист2!$B$2:$B$505=B387), Лист2!$D$2:$D$505)</f>
        <v>1597</v>
      </c>
      <c r="G387" s="7" cm="1">
        <f t="array" ref="G387">_xlfn.XLOOKUP(1, (Лист2!$A$2:$A$505=A387)*(Лист2!$B$2:$B$505=B387), Лист2!$E$2:$E$505)</f>
        <v>1457</v>
      </c>
      <c r="H387">
        <f t="shared" ref="H387:H450" si="12">D387/E387</f>
        <v>118066.5</v>
      </c>
      <c r="I387">
        <f t="shared" ref="I387:I450" si="13">_xlfn.ISOWEEKNUM(A387)</f>
        <v>20</v>
      </c>
    </row>
    <row r="388" spans="1:9" ht="14.25" customHeight="1" x14ac:dyDescent="0.35">
      <c r="A388" s="5">
        <v>43981</v>
      </c>
      <c r="B388" s="6" t="s">
        <v>23</v>
      </c>
      <c r="C388" s="6">
        <v>20688</v>
      </c>
      <c r="D388" s="6">
        <v>1773154.5</v>
      </c>
      <c r="E388" s="7" cm="1">
        <f t="array" ref="E388">_xlfn.XLOOKUP(1,(Лист2!$A$2:$A$505=A388)*(Лист2!$B$2:$B$505=B388),(Лист2!$C$2:$C$505))</f>
        <v>18</v>
      </c>
      <c r="F388" s="7" cm="1">
        <f t="array" ref="F388">_xlfn.XLOOKUP(1, (Лист2!$A$2:$A$505=A388)*(Лист2!$B$2:$B$505=B388), Лист2!$D$2:$D$505)</f>
        <v>1216</v>
      </c>
      <c r="G388" s="7" cm="1">
        <f t="array" ref="G388">_xlfn.XLOOKUP(1, (Лист2!$A$2:$A$505=A388)*(Лист2!$B$2:$B$505=B388), Лист2!$E$2:$E$505)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5">
      <c r="A389" s="8">
        <v>43979</v>
      </c>
      <c r="B389" s="9" t="s">
        <v>23</v>
      </c>
      <c r="C389" s="9">
        <v>15678</v>
      </c>
      <c r="D389" s="9">
        <v>1387443</v>
      </c>
      <c r="E389" s="7" cm="1">
        <f t="array" ref="E389">_xlfn.XLOOKUP(1,(Лист2!$A$2:$A$505=A389)*(Лист2!$B$2:$B$505=B389),(Лист2!$C$2:$C$505))</f>
        <v>18</v>
      </c>
      <c r="F389" s="7" cm="1">
        <f t="array" ref="F389">_xlfn.XLOOKUP(1, (Лист2!$A$2:$A$505=A389)*(Лист2!$B$2:$B$505=B389), Лист2!$D$2:$D$505)</f>
        <v>1020</v>
      </c>
      <c r="G389" s="7" cm="1">
        <f t="array" ref="G389">_xlfn.XLOOKUP(1, (Лист2!$A$2:$A$505=A389)*(Лист2!$B$2:$B$505=B389), Лист2!$E$2:$E$505)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5">
      <c r="A390" s="5">
        <v>43969</v>
      </c>
      <c r="B390" s="6" t="s">
        <v>10</v>
      </c>
      <c r="C390" s="6">
        <v>31329</v>
      </c>
      <c r="D390" s="6">
        <v>2826379.5</v>
      </c>
      <c r="E390" s="7" cm="1">
        <f t="array" ref="E390">_xlfn.XLOOKUP(1,(Лист2!$A$2:$A$505=A390)*(Лист2!$B$2:$B$505=B390),(Лист2!$C$2:$C$505))</f>
        <v>21</v>
      </c>
      <c r="F390" s="7" cm="1">
        <f t="array" ref="F390">_xlfn.XLOOKUP(1, (Лист2!$A$2:$A$505=A390)*(Лист2!$B$2:$B$505=B390), Лист2!$D$2:$D$505)</f>
        <v>1834</v>
      </c>
      <c r="G390" s="7" cm="1">
        <f t="array" ref="G390">_xlfn.XLOOKUP(1, (Лист2!$A$2:$A$505=A390)*(Лист2!$B$2:$B$505=B390), Лист2!$E$2:$E$505)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5">
      <c r="A391" s="8">
        <v>43965</v>
      </c>
      <c r="B391" s="9" t="s">
        <v>10</v>
      </c>
      <c r="C391" s="9">
        <v>29658</v>
      </c>
      <c r="D391" s="9">
        <v>2703132</v>
      </c>
      <c r="E391" s="7" cm="1">
        <f t="array" ref="E391">_xlfn.XLOOKUP(1,(Лист2!$A$2:$A$505=A391)*(Лист2!$B$2:$B$505=B391),(Лист2!$C$2:$C$505))</f>
        <v>21</v>
      </c>
      <c r="F391" s="7" cm="1">
        <f t="array" ref="F391">_xlfn.XLOOKUP(1, (Лист2!$A$2:$A$505=A391)*(Лист2!$B$2:$B$505=B391), Лист2!$D$2:$D$505)</f>
        <v>1706</v>
      </c>
      <c r="G391" s="7" cm="1">
        <f t="array" ref="G391">_xlfn.XLOOKUP(1, (Лист2!$A$2:$A$505=A391)*(Лист2!$B$2:$B$505=B391), Лист2!$E$2:$E$505)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5">
      <c r="A392" s="5">
        <v>43966</v>
      </c>
      <c r="B392" s="6" t="s">
        <v>10</v>
      </c>
      <c r="C392" s="6">
        <v>34150.5</v>
      </c>
      <c r="D392" s="6">
        <v>3038293.5</v>
      </c>
      <c r="E392" s="7" cm="1">
        <f t="array" ref="E392">_xlfn.XLOOKUP(1,(Лист2!$A$2:$A$505=A392)*(Лист2!$B$2:$B$505=B392),(Лист2!$C$2:$C$505))</f>
        <v>21</v>
      </c>
      <c r="F392" s="7" cm="1">
        <f t="array" ref="F392">_xlfn.XLOOKUP(1, (Лист2!$A$2:$A$505=A392)*(Лист2!$B$2:$B$505=B392), Лист2!$D$2:$D$505)</f>
        <v>1926</v>
      </c>
      <c r="G392" s="7" cm="1">
        <f t="array" ref="G392">_xlfn.XLOOKUP(1, (Лист2!$A$2:$A$505=A392)*(Лист2!$B$2:$B$505=B392), Лист2!$E$2:$E$505)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5">
      <c r="A393" s="8">
        <v>43983</v>
      </c>
      <c r="B393" s="9" t="s">
        <v>10</v>
      </c>
      <c r="C393" s="9">
        <v>31947</v>
      </c>
      <c r="D393" s="9">
        <v>2945035.5</v>
      </c>
      <c r="E393" s="7" cm="1">
        <f t="array" ref="E393">_xlfn.XLOOKUP(1,(Лист2!$A$2:$A$505=A393)*(Лист2!$B$2:$B$505=B393),(Лист2!$C$2:$C$505))</f>
        <v>21</v>
      </c>
      <c r="F393" s="7" cm="1">
        <f t="array" ref="F393">_xlfn.XLOOKUP(1, (Лист2!$A$2:$A$505=A393)*(Лист2!$B$2:$B$505=B393), Лист2!$D$2:$D$505)</f>
        <v>2025</v>
      </c>
      <c r="G393" s="7" cm="1">
        <f t="array" ref="G393">_xlfn.XLOOKUP(1, (Лист2!$A$2:$A$505=A393)*(Лист2!$B$2:$B$505=B393), Лист2!$E$2:$E$505)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5">
      <c r="A394" s="5">
        <v>43982</v>
      </c>
      <c r="B394" s="6" t="s">
        <v>24</v>
      </c>
      <c r="C394" s="6">
        <v>10416</v>
      </c>
      <c r="D394" s="6">
        <v>866023.5</v>
      </c>
      <c r="E394" s="7" cm="1">
        <f t="array" ref="E394">_xlfn.XLOOKUP(1,(Лист2!$A$2:$A$505=A394)*(Лист2!$B$2:$B$505=B394),(Лист2!$C$2:$C$505))</f>
        <v>7</v>
      </c>
      <c r="F394" s="7" cm="1">
        <f t="array" ref="F394">_xlfn.XLOOKUP(1, (Лист2!$A$2:$A$505=A394)*(Лист2!$B$2:$B$505=B394), Лист2!$D$2:$D$505)</f>
        <v>530</v>
      </c>
      <c r="G394" s="7" cm="1">
        <f t="array" ref="G394">_xlfn.XLOOKUP(1, (Лист2!$A$2:$A$505=A394)*(Лист2!$B$2:$B$505=B394), Лист2!$E$2:$E$505)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5">
      <c r="A395" s="8">
        <v>43980</v>
      </c>
      <c r="B395" s="9" t="s">
        <v>10</v>
      </c>
      <c r="C395" s="9">
        <v>35431.5</v>
      </c>
      <c r="D395" s="9">
        <v>3193167</v>
      </c>
      <c r="E395" s="7" cm="1">
        <f t="array" ref="E395">_xlfn.XLOOKUP(1,(Лист2!$A$2:$A$505=A395)*(Лист2!$B$2:$B$505=B395),(Лист2!$C$2:$C$505))</f>
        <v>20</v>
      </c>
      <c r="F395" s="7" cm="1">
        <f t="array" ref="F395">_xlfn.XLOOKUP(1, (Лист2!$A$2:$A$505=A395)*(Лист2!$B$2:$B$505=B395), Лист2!$D$2:$D$505)</f>
        <v>2111</v>
      </c>
      <c r="G395" s="7" cm="1">
        <f t="array" ref="G395">_xlfn.XLOOKUP(1, (Лист2!$A$2:$A$505=A395)*(Лист2!$B$2:$B$505=B395), Лист2!$E$2:$E$505)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5">
      <c r="A396" s="5">
        <v>43978</v>
      </c>
      <c r="B396" s="6" t="s">
        <v>11</v>
      </c>
      <c r="C396" s="6">
        <v>78544.5</v>
      </c>
      <c r="D396" s="6">
        <v>6701083.5</v>
      </c>
      <c r="E396" s="7" cm="1">
        <f t="array" ref="E396">_xlfn.XLOOKUP(1,(Лист2!$A$2:$A$505=A396)*(Лист2!$B$2:$B$505=B396),(Лист2!$C$2:$C$505))</f>
        <v>31</v>
      </c>
      <c r="F396" s="7" cm="1">
        <f t="array" ref="F396">_xlfn.XLOOKUP(1, (Лист2!$A$2:$A$505=A396)*(Лист2!$B$2:$B$505=B396), Лист2!$D$2:$D$505)</f>
        <v>5330</v>
      </c>
      <c r="G396" s="7" cm="1">
        <f t="array" ref="G396">_xlfn.XLOOKUP(1, (Лист2!$A$2:$A$505=A396)*(Лист2!$B$2:$B$505=B396), Лист2!$E$2:$E$505)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5">
      <c r="A397" s="8">
        <v>43973</v>
      </c>
      <c r="B397" s="9" t="s">
        <v>11</v>
      </c>
      <c r="C397" s="9">
        <v>97963.5</v>
      </c>
      <c r="D397" s="9">
        <v>7728465</v>
      </c>
      <c r="E397" s="7" cm="1">
        <f t="array" ref="E397">_xlfn.XLOOKUP(1,(Лист2!$A$2:$A$505=A397)*(Лист2!$B$2:$B$505=B397),(Лист2!$C$2:$C$505))</f>
        <v>31</v>
      </c>
      <c r="F397" s="7" cm="1">
        <f t="array" ref="F397">_xlfn.XLOOKUP(1, (Лист2!$A$2:$A$505=A397)*(Лист2!$B$2:$B$505=B397), Лист2!$D$2:$D$505)</f>
        <v>5965</v>
      </c>
      <c r="G397" s="7" cm="1">
        <f t="array" ref="G397">_xlfn.XLOOKUP(1, (Лист2!$A$2:$A$505=A397)*(Лист2!$B$2:$B$505=B397), Лист2!$E$2:$E$505)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5">
      <c r="A398" s="5">
        <v>43983</v>
      </c>
      <c r="B398" s="6" t="s">
        <v>11</v>
      </c>
      <c r="C398" s="6">
        <v>77269.5</v>
      </c>
      <c r="D398" s="6">
        <v>6829921.5</v>
      </c>
      <c r="E398" s="7" cm="1">
        <f t="array" ref="E398">_xlfn.XLOOKUP(1,(Лист2!$A$2:$A$505=A398)*(Лист2!$B$2:$B$505=B398),(Лист2!$C$2:$C$505))</f>
        <v>31</v>
      </c>
      <c r="F398" s="7" cm="1">
        <f t="array" ref="F398">_xlfn.XLOOKUP(1, (Лист2!$A$2:$A$505=A398)*(Лист2!$B$2:$B$505=B398), Лист2!$D$2:$D$505)</f>
        <v>5468</v>
      </c>
      <c r="G398" s="7" cm="1">
        <f t="array" ref="G398">_xlfn.XLOOKUP(1, (Лист2!$A$2:$A$505=A398)*(Лист2!$B$2:$B$505=B398), Лист2!$E$2:$E$505)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5">
      <c r="A399" s="8">
        <v>43982</v>
      </c>
      <c r="B399" s="9" t="s">
        <v>23</v>
      </c>
      <c r="C399" s="9">
        <v>16143</v>
      </c>
      <c r="D399" s="9">
        <v>1423410</v>
      </c>
      <c r="E399" s="7" cm="1">
        <f t="array" ref="E399">_xlfn.XLOOKUP(1,(Лист2!$A$2:$A$505=A399)*(Лист2!$B$2:$B$505=B399),(Лист2!$C$2:$C$505))</f>
        <v>18</v>
      </c>
      <c r="F399" s="7" cm="1">
        <f t="array" ref="F399">_xlfn.XLOOKUP(1, (Лист2!$A$2:$A$505=A399)*(Лист2!$B$2:$B$505=B399), Лист2!$D$2:$D$505)</f>
        <v>1029</v>
      </c>
      <c r="G399" s="7" cm="1">
        <f t="array" ref="G399">_xlfn.XLOOKUP(1, (Лист2!$A$2:$A$505=A399)*(Лист2!$B$2:$B$505=B399), Лист2!$E$2:$E$505)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5">
      <c r="A400" s="5">
        <v>43962</v>
      </c>
      <c r="B400" s="6" t="s">
        <v>11</v>
      </c>
      <c r="C400" s="6">
        <v>72220.5</v>
      </c>
      <c r="D400" s="6">
        <v>6398719.5</v>
      </c>
      <c r="E400" s="7" cm="1">
        <f t="array" ref="E400">_xlfn.XLOOKUP(1,(Лист2!$A$2:$A$505=A400)*(Лист2!$B$2:$B$505=B400),(Лист2!$C$2:$C$505))</f>
        <v>31</v>
      </c>
      <c r="F400" s="7" cm="1">
        <f t="array" ref="F400">_xlfn.XLOOKUP(1, (Лист2!$A$2:$A$505=A400)*(Лист2!$B$2:$B$505=B400), Лист2!$D$2:$D$505)</f>
        <v>4826</v>
      </c>
      <c r="G400" s="7" cm="1">
        <f t="array" ref="G400">_xlfn.XLOOKUP(1, (Лист2!$A$2:$A$505=A400)*(Лист2!$B$2:$B$505=B400), Лист2!$E$2:$E$505)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5">
      <c r="A401" s="8">
        <v>43969</v>
      </c>
      <c r="B401" s="9" t="s">
        <v>11</v>
      </c>
      <c r="C401" s="9">
        <v>78058.5</v>
      </c>
      <c r="D401" s="9">
        <v>6609714</v>
      </c>
      <c r="E401" s="7" cm="1">
        <f t="array" ref="E401">_xlfn.XLOOKUP(1,(Лист2!$A$2:$A$505=A401)*(Лист2!$B$2:$B$505=B401),(Лист2!$C$2:$C$505))</f>
        <v>31</v>
      </c>
      <c r="F401" s="7" cm="1">
        <f t="array" ref="F401">_xlfn.XLOOKUP(1, (Лист2!$A$2:$A$505=A401)*(Лист2!$B$2:$B$505=B401), Лист2!$D$2:$D$505)</f>
        <v>5165</v>
      </c>
      <c r="G401" s="7" cm="1">
        <f t="array" ref="G401">_xlfn.XLOOKUP(1, (Лист2!$A$2:$A$505=A401)*(Лист2!$B$2:$B$505=B401), Лист2!$E$2:$E$505)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5">
      <c r="A402" s="5">
        <v>43965</v>
      </c>
      <c r="B402" s="6" t="s">
        <v>11</v>
      </c>
      <c r="C402" s="6">
        <v>70498.5</v>
      </c>
      <c r="D402" s="6">
        <v>6053649</v>
      </c>
      <c r="E402" s="7" cm="1">
        <f t="array" ref="E402">_xlfn.XLOOKUP(1,(Лист2!$A$2:$A$505=A402)*(Лист2!$B$2:$B$505=B402),(Лист2!$C$2:$C$505))</f>
        <v>31</v>
      </c>
      <c r="F402" s="7" cm="1">
        <f t="array" ref="F402">_xlfn.XLOOKUP(1, (Лист2!$A$2:$A$505=A402)*(Лист2!$B$2:$B$505=B402), Лист2!$D$2:$D$505)</f>
        <v>4695</v>
      </c>
      <c r="G402" s="7" cm="1">
        <f t="array" ref="G402">_xlfn.XLOOKUP(1, (Лист2!$A$2:$A$505=A402)*(Лист2!$B$2:$B$505=B402), Лист2!$E$2:$E$505)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5">
      <c r="A403" s="8">
        <v>43966</v>
      </c>
      <c r="B403" s="9" t="s">
        <v>11</v>
      </c>
      <c r="C403" s="9">
        <v>78961.5</v>
      </c>
      <c r="D403" s="9">
        <v>6876454.5</v>
      </c>
      <c r="E403" s="7" cm="1">
        <f t="array" ref="E403">_xlfn.XLOOKUP(1,(Лист2!$A$2:$A$505=A403)*(Лист2!$B$2:$B$505=B403),(Лист2!$C$2:$C$505))</f>
        <v>31</v>
      </c>
      <c r="F403" s="7" cm="1">
        <f t="array" ref="F403">_xlfn.XLOOKUP(1, (Лист2!$A$2:$A$505=A403)*(Лист2!$B$2:$B$505=B403), Лист2!$D$2:$D$505)</f>
        <v>5184</v>
      </c>
      <c r="G403" s="7" cm="1">
        <f t="array" ref="G403">_xlfn.XLOOKUP(1, (Лист2!$A$2:$A$505=A403)*(Лист2!$B$2:$B$505=B403), Лист2!$E$2:$E$505)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5">
      <c r="A404" s="5">
        <v>43978</v>
      </c>
      <c r="B404" s="6" t="s">
        <v>12</v>
      </c>
      <c r="C404" s="6">
        <v>12490.5</v>
      </c>
      <c r="D404" s="6">
        <v>1054798.5</v>
      </c>
      <c r="E404" s="7" cm="1">
        <f t="array" ref="E404">_xlfn.XLOOKUP(1,(Лист2!$A$2:$A$505=A404)*(Лист2!$B$2:$B$505=B404),(Лист2!$C$2:$C$505))</f>
        <v>10</v>
      </c>
      <c r="F404" s="7" cm="1">
        <f t="array" ref="F404">_xlfn.XLOOKUP(1, (Лист2!$A$2:$A$505=A404)*(Лист2!$B$2:$B$505=B404), Лист2!$D$2:$D$505)</f>
        <v>757</v>
      </c>
      <c r="G404" s="7" cm="1">
        <f t="array" ref="G404">_xlfn.XLOOKUP(1, (Лист2!$A$2:$A$505=A404)*(Лист2!$B$2:$B$505=B404), Лист2!$E$2:$E$505)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5">
      <c r="A405" s="8">
        <v>43973</v>
      </c>
      <c r="B405" s="9" t="s">
        <v>12</v>
      </c>
      <c r="C405" s="9">
        <v>18036</v>
      </c>
      <c r="D405" s="9">
        <v>1455049.5</v>
      </c>
      <c r="E405" s="7" cm="1">
        <f t="array" ref="E405">_xlfn.XLOOKUP(1,(Лист2!$A$2:$A$505=A405)*(Лист2!$B$2:$B$505=B405),(Лист2!$C$2:$C$505))</f>
        <v>10</v>
      </c>
      <c r="F405" s="7" cm="1">
        <f t="array" ref="F405">_xlfn.XLOOKUP(1, (Лист2!$A$2:$A$505=A405)*(Лист2!$B$2:$B$505=B405), Лист2!$D$2:$D$505)</f>
        <v>965</v>
      </c>
      <c r="G405" s="7" cm="1">
        <f t="array" ref="G405">_xlfn.XLOOKUP(1, (Лист2!$A$2:$A$505=A405)*(Лист2!$B$2:$B$505=B405), Лист2!$E$2:$E$505)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5">
      <c r="A406" s="5">
        <v>43983</v>
      </c>
      <c r="B406" s="6" t="s">
        <v>12</v>
      </c>
      <c r="C406" s="6">
        <v>11416.5</v>
      </c>
      <c r="D406" s="6">
        <v>1007742</v>
      </c>
      <c r="E406" s="7" cm="1">
        <f t="array" ref="E406">_xlfn.XLOOKUP(1,(Лист2!$A$2:$A$505=A406)*(Лист2!$B$2:$B$505=B406),(Лист2!$C$2:$C$505))</f>
        <v>10</v>
      </c>
      <c r="F406" s="7" cm="1">
        <f t="array" ref="F406">_xlfn.XLOOKUP(1, (Лист2!$A$2:$A$505=A406)*(Лист2!$B$2:$B$505=B406), Лист2!$D$2:$D$505)</f>
        <v>719</v>
      </c>
      <c r="G406" s="7" cm="1">
        <f t="array" ref="G406">_xlfn.XLOOKUP(1, (Лист2!$A$2:$A$505=A406)*(Лист2!$B$2:$B$505=B406), Лист2!$E$2:$E$505)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5">
      <c r="A407" s="8">
        <v>43962</v>
      </c>
      <c r="B407" s="9" t="s">
        <v>12</v>
      </c>
      <c r="C407" s="9">
        <v>9007.5</v>
      </c>
      <c r="D407" s="9">
        <v>734335.5</v>
      </c>
      <c r="E407" s="7" cm="1">
        <f t="array" ref="E407">_xlfn.XLOOKUP(1,(Лист2!$A$2:$A$505=A407)*(Лист2!$B$2:$B$505=B407),(Лист2!$C$2:$C$505))</f>
        <v>10</v>
      </c>
      <c r="F407" s="7" cm="1">
        <f t="array" ref="F407">_xlfn.XLOOKUP(1, (Лист2!$A$2:$A$505=A407)*(Лист2!$B$2:$B$505=B407), Лист2!$D$2:$D$505)</f>
        <v>494</v>
      </c>
      <c r="G407" s="7" cm="1">
        <f t="array" ref="G407">_xlfn.XLOOKUP(1, (Лист2!$A$2:$A$505=A407)*(Лист2!$B$2:$B$505=B407), Лист2!$E$2:$E$505)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5">
      <c r="A408" s="5">
        <v>43980</v>
      </c>
      <c r="B408" s="6" t="s">
        <v>11</v>
      </c>
      <c r="C408" s="6">
        <v>87552</v>
      </c>
      <c r="D408" s="6">
        <v>7387116</v>
      </c>
      <c r="E408" s="7" cm="1">
        <f t="array" ref="E408">_xlfn.XLOOKUP(1,(Лист2!$A$2:$A$505=A408)*(Лист2!$B$2:$B$505=B408),(Лист2!$C$2:$C$505))</f>
        <v>31</v>
      </c>
      <c r="F408" s="7" cm="1">
        <f t="array" ref="F408">_xlfn.XLOOKUP(1, (Лист2!$A$2:$A$505=A408)*(Лист2!$B$2:$B$505=B408), Лист2!$D$2:$D$505)</f>
        <v>5751</v>
      </c>
      <c r="G408" s="7" cm="1">
        <f t="array" ref="G408">_xlfn.XLOOKUP(1, (Лист2!$A$2:$A$505=A408)*(Лист2!$B$2:$B$505=B408), Лист2!$E$2:$E$505)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5">
      <c r="A409" s="8">
        <v>43969</v>
      </c>
      <c r="B409" s="9" t="s">
        <v>12</v>
      </c>
      <c r="C409" s="9">
        <v>11680.5</v>
      </c>
      <c r="D409" s="9">
        <v>936427.5</v>
      </c>
      <c r="E409" s="7" cm="1">
        <f t="array" ref="E409">_xlfn.XLOOKUP(1,(Лист2!$A$2:$A$505=A409)*(Лист2!$B$2:$B$505=B409),(Лист2!$C$2:$C$505))</f>
        <v>10</v>
      </c>
      <c r="F409" s="7" cm="1">
        <f t="array" ref="F409">_xlfn.XLOOKUP(1, (Лист2!$A$2:$A$505=A409)*(Лист2!$B$2:$B$505=B409), Лист2!$D$2:$D$505)</f>
        <v>645</v>
      </c>
      <c r="G409" s="7" cm="1">
        <f t="array" ref="G409">_xlfn.XLOOKUP(1, (Лист2!$A$2:$A$505=A409)*(Лист2!$B$2:$B$505=B409), Лист2!$E$2:$E$505)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5">
      <c r="A410" s="5">
        <v>43965</v>
      </c>
      <c r="B410" s="6" t="s">
        <v>12</v>
      </c>
      <c r="C410" s="6">
        <v>12037.5</v>
      </c>
      <c r="D410" s="6">
        <v>981564</v>
      </c>
      <c r="E410" s="7" cm="1">
        <f t="array" ref="E410">_xlfn.XLOOKUP(1,(Лист2!$A$2:$A$505=A410)*(Лист2!$B$2:$B$505=B410),(Лист2!$C$2:$C$505))</f>
        <v>10</v>
      </c>
      <c r="F410" s="7" cm="1">
        <f t="array" ref="F410">_xlfn.XLOOKUP(1, (Лист2!$A$2:$A$505=A410)*(Лист2!$B$2:$B$505=B410), Лист2!$D$2:$D$505)</f>
        <v>627</v>
      </c>
      <c r="G410" s="7" cm="1">
        <f t="array" ref="G410">_xlfn.XLOOKUP(1, (Лист2!$A$2:$A$505=A410)*(Лист2!$B$2:$B$505=B410), Лист2!$E$2:$E$505)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5">
      <c r="A411" s="8">
        <v>43966</v>
      </c>
      <c r="B411" s="9" t="s">
        <v>12</v>
      </c>
      <c r="C411" s="9">
        <v>14421</v>
      </c>
      <c r="D411" s="9">
        <v>1150579.5</v>
      </c>
      <c r="E411" s="7" cm="1">
        <f t="array" ref="E411">_xlfn.XLOOKUP(1,(Лист2!$A$2:$A$505=A411)*(Лист2!$B$2:$B$505=B411),(Лист2!$C$2:$C$505))</f>
        <v>10</v>
      </c>
      <c r="F411" s="7" cm="1">
        <f t="array" ref="F411">_xlfn.XLOOKUP(1, (Лист2!$A$2:$A$505=A411)*(Лист2!$B$2:$B$505=B411), Лист2!$D$2:$D$505)</f>
        <v>743</v>
      </c>
      <c r="G411" s="7" cm="1">
        <f t="array" ref="G411">_xlfn.XLOOKUP(1, (Лист2!$A$2:$A$505=A411)*(Лист2!$B$2:$B$505=B411), Лист2!$E$2:$E$505)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5">
      <c r="A412" s="5">
        <v>43980</v>
      </c>
      <c r="B412" s="6" t="s">
        <v>12</v>
      </c>
      <c r="C412" s="6">
        <v>14823</v>
      </c>
      <c r="D412" s="6">
        <v>1273464</v>
      </c>
      <c r="E412" s="7" cm="1">
        <f t="array" ref="E412">_xlfn.XLOOKUP(1,(Лист2!$A$2:$A$505=A412)*(Лист2!$B$2:$B$505=B412),(Лист2!$C$2:$C$505))</f>
        <v>10</v>
      </c>
      <c r="F412" s="7" cm="1">
        <f t="array" ref="F412">_xlfn.XLOOKUP(1, (Лист2!$A$2:$A$505=A412)*(Лист2!$B$2:$B$505=B412), Лист2!$D$2:$D$505)</f>
        <v>873</v>
      </c>
      <c r="G412" s="7" cm="1">
        <f t="array" ref="G412">_xlfn.XLOOKUP(1, (Лист2!$A$2:$A$505=A412)*(Лист2!$B$2:$B$505=B412), Лист2!$E$2:$E$505)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5">
      <c r="A413" s="8">
        <v>43978</v>
      </c>
      <c r="B413" s="9" t="s">
        <v>13</v>
      </c>
      <c r="C413" s="9">
        <v>31257</v>
      </c>
      <c r="D413" s="9">
        <v>2924133</v>
      </c>
      <c r="E413" s="7" cm="1">
        <f t="array" ref="E413">_xlfn.XLOOKUP(1,(Лист2!$A$2:$A$505=A413)*(Лист2!$B$2:$B$505=B413),(Лист2!$C$2:$C$505))</f>
        <v>20</v>
      </c>
      <c r="F413" s="7" cm="1">
        <f t="array" ref="F413">_xlfn.XLOOKUP(1, (Лист2!$A$2:$A$505=A413)*(Лист2!$B$2:$B$505=B413), Лист2!$D$2:$D$505)</f>
        <v>2079</v>
      </c>
      <c r="G413" s="7" cm="1">
        <f t="array" ref="G413">_xlfn.XLOOKUP(1, (Лист2!$A$2:$A$505=A413)*(Лист2!$B$2:$B$505=B413), Лист2!$E$2:$E$505)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5">
      <c r="A414" s="5">
        <v>43973</v>
      </c>
      <c r="B414" s="6" t="s">
        <v>13</v>
      </c>
      <c r="C414" s="6">
        <v>38074.5</v>
      </c>
      <c r="D414" s="6">
        <v>3414180</v>
      </c>
      <c r="E414" s="7" cm="1">
        <f t="array" ref="E414">_xlfn.XLOOKUP(1,(Лист2!$A$2:$A$505=A414)*(Лист2!$B$2:$B$505=B414),(Лист2!$C$2:$C$505))</f>
        <v>20</v>
      </c>
      <c r="F414" s="7" cm="1">
        <f t="array" ref="F414">_xlfn.XLOOKUP(1, (Лист2!$A$2:$A$505=A414)*(Лист2!$B$2:$B$505=B414), Лист2!$D$2:$D$505)</f>
        <v>2306</v>
      </c>
      <c r="G414" s="7" cm="1">
        <f t="array" ref="G414">_xlfn.XLOOKUP(1, (Лист2!$A$2:$A$505=A414)*(Лист2!$B$2:$B$505=B414), Лист2!$E$2:$E$505)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5">
      <c r="A415" s="8">
        <v>43983</v>
      </c>
      <c r="B415" s="9" t="s">
        <v>13</v>
      </c>
      <c r="C415" s="9">
        <v>32170.5</v>
      </c>
      <c r="D415" s="9">
        <v>3013512</v>
      </c>
      <c r="E415" s="7" cm="1">
        <f t="array" ref="E415">_xlfn.XLOOKUP(1,(Лист2!$A$2:$A$505=A415)*(Лист2!$B$2:$B$505=B415),(Лист2!$C$2:$C$505))</f>
        <v>20</v>
      </c>
      <c r="F415" s="7" cm="1">
        <f t="array" ref="F415">_xlfn.XLOOKUP(1, (Лист2!$A$2:$A$505=A415)*(Лист2!$B$2:$B$505=B415), Лист2!$D$2:$D$505)</f>
        <v>2136</v>
      </c>
      <c r="G415" s="7" cm="1">
        <f t="array" ref="G415">_xlfn.XLOOKUP(1, (Лист2!$A$2:$A$505=A415)*(Лист2!$B$2:$B$505=B415), Лист2!$E$2:$E$505)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5">
      <c r="A416" s="5">
        <v>43962</v>
      </c>
      <c r="B416" s="6" t="s">
        <v>13</v>
      </c>
      <c r="C416" s="6">
        <v>42397.5</v>
      </c>
      <c r="D416" s="6">
        <v>3911979</v>
      </c>
      <c r="E416" s="7" cm="1">
        <f t="array" ref="E416">_xlfn.XLOOKUP(1,(Лист2!$A$2:$A$505=A416)*(Лист2!$B$2:$B$505=B416),(Лист2!$C$2:$C$505))</f>
        <v>19</v>
      </c>
      <c r="F416" s="7" cm="1">
        <f t="array" ref="F416">_xlfn.XLOOKUP(1, (Лист2!$A$2:$A$505=A416)*(Лист2!$B$2:$B$505=B416), Лист2!$D$2:$D$505)</f>
        <v>2530</v>
      </c>
      <c r="G416" s="7" cm="1">
        <f t="array" ref="G416">_xlfn.XLOOKUP(1, (Лист2!$A$2:$A$505=A416)*(Лист2!$B$2:$B$505=B416), Лист2!$E$2:$E$505)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5">
      <c r="A417" s="8">
        <v>43969</v>
      </c>
      <c r="B417" s="9" t="s">
        <v>13</v>
      </c>
      <c r="C417" s="9">
        <v>28668</v>
      </c>
      <c r="D417" s="9">
        <v>2588148</v>
      </c>
      <c r="E417" s="7" cm="1">
        <f t="array" ref="E417">_xlfn.XLOOKUP(1,(Лист2!$A$2:$A$505=A417)*(Лист2!$B$2:$B$505=B417),(Лист2!$C$2:$C$505))</f>
        <v>19</v>
      </c>
      <c r="F417" s="7" cm="1">
        <f t="array" ref="F417">_xlfn.XLOOKUP(1, (Лист2!$A$2:$A$505=A417)*(Лист2!$B$2:$B$505=B417), Лист2!$D$2:$D$505)</f>
        <v>1858</v>
      </c>
      <c r="G417" s="7" cm="1">
        <f t="array" ref="G417">_xlfn.XLOOKUP(1, (Лист2!$A$2:$A$505=A417)*(Лист2!$B$2:$B$505=B417), Лист2!$E$2:$E$505)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5">
      <c r="A418" s="5">
        <v>43965</v>
      </c>
      <c r="B418" s="6" t="s">
        <v>13</v>
      </c>
      <c r="C418" s="6">
        <v>27411</v>
      </c>
      <c r="D418" s="6">
        <v>2441520</v>
      </c>
      <c r="E418" s="7" cm="1">
        <f t="array" ref="E418">_xlfn.XLOOKUP(1,(Лист2!$A$2:$A$505=A418)*(Лист2!$B$2:$B$505=B418),(Лист2!$C$2:$C$505))</f>
        <v>19</v>
      </c>
      <c r="F418" s="7" cm="1">
        <f t="array" ref="F418">_xlfn.XLOOKUP(1, (Лист2!$A$2:$A$505=A418)*(Лист2!$B$2:$B$505=B418), Лист2!$D$2:$D$505)</f>
        <v>1675</v>
      </c>
      <c r="G418" s="7" cm="1">
        <f t="array" ref="G418">_xlfn.XLOOKUP(1, (Лист2!$A$2:$A$505=A418)*(Лист2!$B$2:$B$505=B418), Лист2!$E$2:$E$505)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5">
      <c r="A419" s="8">
        <v>43966</v>
      </c>
      <c r="B419" s="9" t="s">
        <v>13</v>
      </c>
      <c r="C419" s="9">
        <v>32854.5</v>
      </c>
      <c r="D419" s="9">
        <v>2949078</v>
      </c>
      <c r="E419" s="7" cm="1">
        <f t="array" ref="E419">_xlfn.XLOOKUP(1,(Лист2!$A$2:$A$505=A419)*(Лист2!$B$2:$B$505=B419),(Лист2!$C$2:$C$505))</f>
        <v>19</v>
      </c>
      <c r="F419" s="7" cm="1">
        <f t="array" ref="F419">_xlfn.XLOOKUP(1, (Лист2!$A$2:$A$505=A419)*(Лист2!$B$2:$B$505=B419), Лист2!$D$2:$D$505)</f>
        <v>1940</v>
      </c>
      <c r="G419" s="7" cm="1">
        <f t="array" ref="G419">_xlfn.XLOOKUP(1, (Лист2!$A$2:$A$505=A419)*(Лист2!$B$2:$B$505=B419), Лист2!$E$2:$E$505)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5">
      <c r="A420" s="5">
        <v>43980</v>
      </c>
      <c r="B420" s="6" t="s">
        <v>13</v>
      </c>
      <c r="C420" s="6">
        <v>35346</v>
      </c>
      <c r="D420" s="6">
        <v>3258054</v>
      </c>
      <c r="E420" s="7" cm="1">
        <f t="array" ref="E420">_xlfn.XLOOKUP(1,(Лист2!$A$2:$A$505=A420)*(Лист2!$B$2:$B$505=B420),(Лист2!$C$2:$C$505))</f>
        <v>20</v>
      </c>
      <c r="F420" s="7" cm="1">
        <f t="array" ref="F420">_xlfn.XLOOKUP(1, (Лист2!$A$2:$A$505=A420)*(Лист2!$B$2:$B$505=B420), Лист2!$D$2:$D$505)</f>
        <v>2249</v>
      </c>
      <c r="G420" s="7" cm="1">
        <f t="array" ref="G420">_xlfn.XLOOKUP(1, (Лист2!$A$2:$A$505=A420)*(Лист2!$B$2:$B$505=B420), Лист2!$E$2:$E$505)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5">
      <c r="A421" s="8">
        <v>43978</v>
      </c>
      <c r="B421" s="9" t="s">
        <v>14</v>
      </c>
      <c r="C421" s="9">
        <v>286558.5</v>
      </c>
      <c r="D421" s="9">
        <v>29256993</v>
      </c>
      <c r="E421" s="7" cm="1">
        <f t="array" ref="E421">_xlfn.XLOOKUP(1,(Лист2!$A$2:$A$505=A421)*(Лист2!$B$2:$B$505=B421),(Лист2!$C$2:$C$505))</f>
        <v>129</v>
      </c>
      <c r="F421" s="7" cm="1">
        <f t="array" ref="F421">_xlfn.XLOOKUP(1, (Лист2!$A$2:$A$505=A421)*(Лист2!$B$2:$B$505=B421), Лист2!$D$2:$D$505)</f>
        <v>17115</v>
      </c>
      <c r="G421" s="7" cm="1">
        <f t="array" ref="G421">_xlfn.XLOOKUP(1, (Лист2!$A$2:$A$505=A421)*(Лист2!$B$2:$B$505=B421), Лист2!$E$2:$E$505)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5">
      <c r="A422" s="5">
        <v>43973</v>
      </c>
      <c r="B422" s="6" t="s">
        <v>14</v>
      </c>
      <c r="C422" s="6">
        <v>304092</v>
      </c>
      <c r="D422" s="6">
        <v>29465769</v>
      </c>
      <c r="E422" s="7" cm="1">
        <f t="array" ref="E422">_xlfn.XLOOKUP(1,(Лист2!$A$2:$A$505=A422)*(Лист2!$B$2:$B$505=B422),(Лист2!$C$2:$C$505))</f>
        <v>129</v>
      </c>
      <c r="F422" s="7" cm="1">
        <f t="array" ref="F422">_xlfn.XLOOKUP(1, (Лист2!$A$2:$A$505=A422)*(Лист2!$B$2:$B$505=B422), Лист2!$D$2:$D$505)</f>
        <v>17088</v>
      </c>
      <c r="G422" s="7" cm="1">
        <f t="array" ref="G422">_xlfn.XLOOKUP(1, (Лист2!$A$2:$A$505=A422)*(Лист2!$B$2:$B$505=B422), Лист2!$E$2:$E$505)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5">
      <c r="A423" s="8">
        <v>43983</v>
      </c>
      <c r="B423" s="9" t="s">
        <v>14</v>
      </c>
      <c r="C423" s="9">
        <v>272926.5</v>
      </c>
      <c r="D423" s="9">
        <v>27770092.5</v>
      </c>
      <c r="E423" s="7" cm="1">
        <f t="array" ref="E423">_xlfn.XLOOKUP(1,(Лист2!$A$2:$A$505=A423)*(Лист2!$B$2:$B$505=B423),(Лист2!$C$2:$C$505))</f>
        <v>128</v>
      </c>
      <c r="F423" s="7" cm="1">
        <f t="array" ref="F423">_xlfn.XLOOKUP(1, (Лист2!$A$2:$A$505=A423)*(Лист2!$B$2:$B$505=B423), Лист2!$D$2:$D$505)</f>
        <v>16285</v>
      </c>
      <c r="G423" s="7" cm="1">
        <f t="array" ref="G423">_xlfn.XLOOKUP(1, (Лист2!$A$2:$A$505=A423)*(Лист2!$B$2:$B$505=B423), Лист2!$E$2:$E$505)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5">
      <c r="A424" s="5">
        <v>43962</v>
      </c>
      <c r="B424" s="6" t="s">
        <v>14</v>
      </c>
      <c r="C424" s="6">
        <v>237099</v>
      </c>
      <c r="D424" s="6">
        <v>24628233.223949999</v>
      </c>
      <c r="E424" s="7" cm="1">
        <f t="array" ref="E424">_xlfn.XLOOKUP(1,(Лист2!$A$2:$A$505=A424)*(Лист2!$B$2:$B$505=B424),(Лист2!$C$2:$C$505))</f>
        <v>129</v>
      </c>
      <c r="F424" s="7" cm="1">
        <f t="array" ref="F424">_xlfn.XLOOKUP(1, (Лист2!$A$2:$A$505=A424)*(Лист2!$B$2:$B$505=B424), Лист2!$D$2:$D$505)</f>
        <v>14043</v>
      </c>
      <c r="G424" s="7" cm="1">
        <f t="array" ref="G424">_xlfn.XLOOKUP(1, (Лист2!$A$2:$A$505=A424)*(Лист2!$B$2:$B$505=B424), Лист2!$E$2:$E$505)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5">
      <c r="A425" s="8">
        <v>43969</v>
      </c>
      <c r="B425" s="9" t="s">
        <v>14</v>
      </c>
      <c r="C425" s="9">
        <v>273900</v>
      </c>
      <c r="D425" s="9">
        <v>27535284.147600003</v>
      </c>
      <c r="E425" s="7" cm="1">
        <f t="array" ref="E425">_xlfn.XLOOKUP(1,(Лист2!$A$2:$A$505=A425)*(Лист2!$B$2:$B$505=B425),(Лист2!$C$2:$C$505))</f>
        <v>129</v>
      </c>
      <c r="F425" s="7" cm="1">
        <f t="array" ref="F425">_xlfn.XLOOKUP(1, (Лист2!$A$2:$A$505=A425)*(Лист2!$B$2:$B$505=B425), Лист2!$D$2:$D$505)</f>
        <v>16110</v>
      </c>
      <c r="G425" s="7" cm="1">
        <f t="array" ref="G425">_xlfn.XLOOKUP(1, (Лист2!$A$2:$A$505=A425)*(Лист2!$B$2:$B$505=B425), Лист2!$E$2:$E$505)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5">
      <c r="A426" s="5">
        <v>43965</v>
      </c>
      <c r="B426" s="6" t="s">
        <v>14</v>
      </c>
      <c r="C426" s="6">
        <v>274059</v>
      </c>
      <c r="D426" s="6">
        <v>28181292</v>
      </c>
      <c r="E426" s="7" cm="1">
        <f t="array" ref="E426">_xlfn.XLOOKUP(1,(Лист2!$A$2:$A$505=A426)*(Лист2!$B$2:$B$505=B426),(Лист2!$C$2:$C$505))</f>
        <v>129</v>
      </c>
      <c r="F426" s="7" cm="1">
        <f t="array" ref="F426">_xlfn.XLOOKUP(1, (Лист2!$A$2:$A$505=A426)*(Лист2!$B$2:$B$505=B426), Лист2!$D$2:$D$505)</f>
        <v>15804</v>
      </c>
      <c r="G426" s="7" cm="1">
        <f t="array" ref="G426">_xlfn.XLOOKUP(1, (Лист2!$A$2:$A$505=A426)*(Лист2!$B$2:$B$505=B426), Лист2!$E$2:$E$505)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5">
      <c r="A427" s="8">
        <v>43966</v>
      </c>
      <c r="B427" s="9" t="s">
        <v>14</v>
      </c>
      <c r="C427" s="9">
        <v>318816</v>
      </c>
      <c r="D427" s="9">
        <v>32354331</v>
      </c>
      <c r="E427" s="7" cm="1">
        <f t="array" ref="E427">_xlfn.XLOOKUP(1,(Лист2!$A$2:$A$505=A427)*(Лист2!$B$2:$B$505=B427),(Лист2!$C$2:$C$505))</f>
        <v>129</v>
      </c>
      <c r="F427" s="7" cm="1">
        <f t="array" ref="F427">_xlfn.XLOOKUP(1, (Лист2!$A$2:$A$505=A427)*(Лист2!$B$2:$B$505=B427), Лист2!$D$2:$D$505)</f>
        <v>17808</v>
      </c>
      <c r="G427" s="7" cm="1">
        <f t="array" ref="G427">_xlfn.XLOOKUP(1, (Лист2!$A$2:$A$505=A427)*(Лист2!$B$2:$B$505=B427), Лист2!$E$2:$E$505)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5">
      <c r="A428" s="5">
        <v>43978</v>
      </c>
      <c r="B428" s="6" t="s">
        <v>15</v>
      </c>
      <c r="C428" s="6">
        <v>370012.5</v>
      </c>
      <c r="D428" s="6">
        <v>39034861.5</v>
      </c>
      <c r="E428" s="7" cm="1">
        <f t="array" ref="E428">_xlfn.XLOOKUP(1,(Лист2!$A$2:$A$505=A428)*(Лист2!$B$2:$B$505=B428),(Лист2!$C$2:$C$505))</f>
        <v>124</v>
      </c>
      <c r="F428" s="7" cm="1">
        <f t="array" ref="F428">_xlfn.XLOOKUP(1, (Лист2!$A$2:$A$505=A428)*(Лист2!$B$2:$B$505=B428), Лист2!$D$2:$D$505)</f>
        <v>21384</v>
      </c>
      <c r="G428" s="7" cm="1">
        <f t="array" ref="G428">_xlfn.XLOOKUP(1, (Лист2!$A$2:$A$505=A428)*(Лист2!$B$2:$B$505=B428), Лист2!$E$2:$E$505)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5">
      <c r="A429" s="8">
        <v>43973</v>
      </c>
      <c r="B429" s="9" t="s">
        <v>15</v>
      </c>
      <c r="C429" s="9">
        <v>393018</v>
      </c>
      <c r="D429" s="9">
        <v>39498373.5</v>
      </c>
      <c r="E429" s="7" cm="1">
        <f t="array" ref="E429">_xlfn.XLOOKUP(1,(Лист2!$A$2:$A$505=A429)*(Лист2!$B$2:$B$505=B429),(Лист2!$C$2:$C$505))</f>
        <v>125</v>
      </c>
      <c r="F429" s="7" cm="1">
        <f t="array" ref="F429">_xlfn.XLOOKUP(1, (Лист2!$A$2:$A$505=A429)*(Лист2!$B$2:$B$505=B429), Лист2!$D$2:$D$505)</f>
        <v>21427</v>
      </c>
      <c r="G429" s="7" cm="1">
        <f t="array" ref="G429">_xlfn.XLOOKUP(1, (Лист2!$A$2:$A$505=A429)*(Лист2!$B$2:$B$505=B429), Лист2!$E$2:$E$505)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5">
      <c r="A430" s="5">
        <v>43983</v>
      </c>
      <c r="B430" s="6" t="s">
        <v>15</v>
      </c>
      <c r="C430" s="6">
        <v>349699.5</v>
      </c>
      <c r="D430" s="6">
        <v>37257840.18135</v>
      </c>
      <c r="E430" s="7" cm="1">
        <f t="array" ref="E430">_xlfn.XLOOKUP(1,(Лист2!$A$2:$A$505=A430)*(Лист2!$B$2:$B$505=B430),(Лист2!$C$2:$C$505))</f>
        <v>123</v>
      </c>
      <c r="F430" s="7" cm="1">
        <f t="array" ref="F430">_xlfn.XLOOKUP(1, (Лист2!$A$2:$A$505=A430)*(Лист2!$B$2:$B$505=B430), Лист2!$D$2:$D$505)</f>
        <v>20325</v>
      </c>
      <c r="G430" s="7" cm="1">
        <f t="array" ref="G430">_xlfn.XLOOKUP(1, (Лист2!$A$2:$A$505=A430)*(Лист2!$B$2:$B$505=B430), Лист2!$E$2:$E$505)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5">
      <c r="A431" s="8">
        <v>43962</v>
      </c>
      <c r="B431" s="9" t="s">
        <v>15</v>
      </c>
      <c r="C431" s="9">
        <v>318565.5</v>
      </c>
      <c r="D431" s="9">
        <v>33781581</v>
      </c>
      <c r="E431" s="7" cm="1">
        <f t="array" ref="E431">_xlfn.XLOOKUP(1,(Лист2!$A$2:$A$505=A431)*(Лист2!$B$2:$B$505=B431),(Лист2!$C$2:$C$505))</f>
        <v>125</v>
      </c>
      <c r="F431" s="7" cm="1">
        <f t="array" ref="F431">_xlfn.XLOOKUP(1, (Лист2!$A$2:$A$505=A431)*(Лист2!$B$2:$B$505=B431), Лист2!$D$2:$D$505)</f>
        <v>18066</v>
      </c>
      <c r="G431" s="7" cm="1">
        <f t="array" ref="G431">_xlfn.XLOOKUP(1, (Лист2!$A$2:$A$505=A431)*(Лист2!$B$2:$B$505=B431), Лист2!$E$2:$E$505)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5">
      <c r="A432" s="5">
        <v>43980</v>
      </c>
      <c r="B432" s="6" t="s">
        <v>14</v>
      </c>
      <c r="C432" s="6">
        <v>422965.5</v>
      </c>
      <c r="D432" s="6">
        <v>41767140.105000004</v>
      </c>
      <c r="E432" s="7" cm="1">
        <f t="array" ref="E432">_xlfn.XLOOKUP(1,(Лист2!$A$2:$A$505=A432)*(Лист2!$B$2:$B$505=B432),(Лист2!$C$2:$C$505))</f>
        <v>129</v>
      </c>
      <c r="F432" s="7" cm="1">
        <f t="array" ref="F432">_xlfn.XLOOKUP(1, (Лист2!$A$2:$A$505=A432)*(Лист2!$B$2:$B$505=B432), Лист2!$D$2:$D$505)</f>
        <v>22403</v>
      </c>
      <c r="G432" s="7" cm="1">
        <f t="array" ref="G432">_xlfn.XLOOKUP(1, (Лист2!$A$2:$A$505=A432)*(Лист2!$B$2:$B$505=B432), Лист2!$E$2:$E$505)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5">
      <c r="A433" s="8">
        <v>43969</v>
      </c>
      <c r="B433" s="9" t="s">
        <v>15</v>
      </c>
      <c r="C433" s="9">
        <v>355081.5</v>
      </c>
      <c r="D433" s="9">
        <v>36876888</v>
      </c>
      <c r="E433" s="7" cm="1">
        <f t="array" ref="E433">_xlfn.XLOOKUP(1,(Лист2!$A$2:$A$505=A433)*(Лист2!$B$2:$B$505=B433),(Лист2!$C$2:$C$505))</f>
        <v>125</v>
      </c>
      <c r="F433" s="7" cm="1">
        <f t="array" ref="F433">_xlfn.XLOOKUP(1, (Лист2!$A$2:$A$505=A433)*(Лист2!$B$2:$B$505=B433), Лист2!$D$2:$D$505)</f>
        <v>20449</v>
      </c>
      <c r="G433" s="7" cm="1">
        <f t="array" ref="G433">_xlfn.XLOOKUP(1, (Лист2!$A$2:$A$505=A433)*(Лист2!$B$2:$B$505=B433), Лист2!$E$2:$E$505)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5">
      <c r="A434" s="5">
        <v>43965</v>
      </c>
      <c r="B434" s="6" t="s">
        <v>15</v>
      </c>
      <c r="C434" s="6">
        <v>358387.5</v>
      </c>
      <c r="D434" s="6">
        <v>37963150.5</v>
      </c>
      <c r="E434" s="7" cm="1">
        <f t="array" ref="E434">_xlfn.XLOOKUP(1,(Лист2!$A$2:$A$505=A434)*(Лист2!$B$2:$B$505=B434),(Лист2!$C$2:$C$505))</f>
        <v>125</v>
      </c>
      <c r="F434" s="7" cm="1">
        <f t="array" ref="F434">_xlfn.XLOOKUP(1, (Лист2!$A$2:$A$505=A434)*(Лист2!$B$2:$B$505=B434), Лист2!$D$2:$D$505)</f>
        <v>20247</v>
      </c>
      <c r="G434" s="7" cm="1">
        <f t="array" ref="G434">_xlfn.XLOOKUP(1, (Лист2!$A$2:$A$505=A434)*(Лист2!$B$2:$B$505=B434), Лист2!$E$2:$E$505)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5">
      <c r="A435" s="8">
        <v>43966</v>
      </c>
      <c r="B435" s="9" t="s">
        <v>15</v>
      </c>
      <c r="C435" s="9">
        <v>403261.5</v>
      </c>
      <c r="D435" s="9">
        <v>42271377</v>
      </c>
      <c r="E435" s="7" cm="1">
        <f t="array" ref="E435">_xlfn.XLOOKUP(1,(Лист2!$A$2:$A$505=A435)*(Лист2!$B$2:$B$505=B435),(Лист2!$C$2:$C$505))</f>
        <v>125</v>
      </c>
      <c r="F435" s="7" cm="1">
        <f t="array" ref="F435">_xlfn.XLOOKUP(1, (Лист2!$A$2:$A$505=A435)*(Лист2!$B$2:$B$505=B435), Лист2!$D$2:$D$505)</f>
        <v>21862</v>
      </c>
      <c r="G435" s="7" cm="1">
        <f t="array" ref="G435">_xlfn.XLOOKUP(1, (Лист2!$A$2:$A$505=A435)*(Лист2!$B$2:$B$505=B435), Лист2!$E$2:$E$505)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5">
      <c r="A436" s="5">
        <v>43978</v>
      </c>
      <c r="B436" s="6" t="s">
        <v>16</v>
      </c>
      <c r="C436" s="6">
        <v>69010.5</v>
      </c>
      <c r="D436" s="6">
        <v>5985894</v>
      </c>
      <c r="E436" s="7" cm="1">
        <f t="array" ref="E436">_xlfn.XLOOKUP(1,(Лист2!$A$2:$A$505=A436)*(Лист2!$B$2:$B$505=B436),(Лист2!$C$2:$C$505))</f>
        <v>36</v>
      </c>
      <c r="F436" s="7" cm="1">
        <f t="array" ref="F436">_xlfn.XLOOKUP(1, (Лист2!$A$2:$A$505=A436)*(Лист2!$B$2:$B$505=B436), Лист2!$D$2:$D$505)</f>
        <v>4951</v>
      </c>
      <c r="G436" s="7" cm="1">
        <f t="array" ref="G436">_xlfn.XLOOKUP(1, (Лист2!$A$2:$A$505=A436)*(Лист2!$B$2:$B$505=B436), Лист2!$E$2:$E$505)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5">
      <c r="A437" s="8">
        <v>43973</v>
      </c>
      <c r="B437" s="9" t="s">
        <v>16</v>
      </c>
      <c r="C437" s="9">
        <v>75820.5</v>
      </c>
      <c r="D437" s="9">
        <v>5943489</v>
      </c>
      <c r="E437" s="7" cm="1">
        <f t="array" ref="E437">_xlfn.XLOOKUP(1,(Лист2!$A$2:$A$505=A437)*(Лист2!$B$2:$B$505=B437),(Лист2!$C$2:$C$505))</f>
        <v>36</v>
      </c>
      <c r="F437" s="7" cm="1">
        <f t="array" ref="F437">_xlfn.XLOOKUP(1, (Лист2!$A$2:$A$505=A437)*(Лист2!$B$2:$B$505=B437), Лист2!$D$2:$D$505)</f>
        <v>4857</v>
      </c>
      <c r="G437" s="7" cm="1">
        <f t="array" ref="G437">_xlfn.XLOOKUP(1, (Лист2!$A$2:$A$505=A437)*(Лист2!$B$2:$B$505=B437), Лист2!$E$2:$E$505)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5">
      <c r="A438" s="5">
        <v>43983</v>
      </c>
      <c r="B438" s="6" t="s">
        <v>16</v>
      </c>
      <c r="C438" s="6">
        <v>64740</v>
      </c>
      <c r="D438" s="6">
        <v>5800290</v>
      </c>
      <c r="E438" s="7" cm="1">
        <f t="array" ref="E438">_xlfn.XLOOKUP(1,(Лист2!$A$2:$A$505=A438)*(Лист2!$B$2:$B$505=B438),(Лист2!$C$2:$C$505))</f>
        <v>37</v>
      </c>
      <c r="F438" s="7" cm="1">
        <f t="array" ref="F438">_xlfn.XLOOKUP(1, (Лист2!$A$2:$A$505=A438)*(Лист2!$B$2:$B$505=B438), Лист2!$D$2:$D$505)</f>
        <v>4722</v>
      </c>
      <c r="G438" s="7" cm="1">
        <f t="array" ref="G438">_xlfn.XLOOKUP(1, (Лист2!$A$2:$A$505=A438)*(Лист2!$B$2:$B$505=B438), Лист2!$E$2:$E$505)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5">
      <c r="A439" s="8">
        <v>43962</v>
      </c>
      <c r="B439" s="9" t="s">
        <v>16</v>
      </c>
      <c r="C439" s="9">
        <v>59574</v>
      </c>
      <c r="D439" s="9">
        <v>5178169.5</v>
      </c>
      <c r="E439" s="7" cm="1">
        <f t="array" ref="E439">_xlfn.XLOOKUP(1,(Лист2!$A$2:$A$505=A439)*(Лист2!$B$2:$B$505=B439),(Лист2!$C$2:$C$505))</f>
        <v>36</v>
      </c>
      <c r="F439" s="7" cm="1">
        <f t="array" ref="F439">_xlfn.XLOOKUP(1, (Лист2!$A$2:$A$505=A439)*(Лист2!$B$2:$B$505=B439), Лист2!$D$2:$D$505)</f>
        <v>4150</v>
      </c>
      <c r="G439" s="7" cm="1">
        <f t="array" ref="G439">_xlfn.XLOOKUP(1, (Лист2!$A$2:$A$505=A439)*(Лист2!$B$2:$B$505=B439), Лист2!$E$2:$E$505)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5">
      <c r="A440" s="5">
        <v>43980</v>
      </c>
      <c r="B440" s="6" t="s">
        <v>15</v>
      </c>
      <c r="C440" s="6">
        <v>524481</v>
      </c>
      <c r="D440" s="6">
        <v>54172029</v>
      </c>
      <c r="E440" s="7" cm="1">
        <f t="array" ref="E440">_xlfn.XLOOKUP(1,(Лист2!$A$2:$A$505=A440)*(Лист2!$B$2:$B$505=B440),(Лист2!$C$2:$C$505))</f>
        <v>124</v>
      </c>
      <c r="F440" s="7" cm="1">
        <f t="array" ref="F440">_xlfn.XLOOKUP(1, (Лист2!$A$2:$A$505=A440)*(Лист2!$B$2:$B$505=B440), Лист2!$D$2:$D$505)</f>
        <v>25828</v>
      </c>
      <c r="G440" s="7" cm="1">
        <f t="array" ref="G440">_xlfn.XLOOKUP(1, (Лист2!$A$2:$A$505=A440)*(Лист2!$B$2:$B$505=B440), Лист2!$E$2:$E$505)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5">
      <c r="A441" s="8">
        <v>43969</v>
      </c>
      <c r="B441" s="9" t="s">
        <v>16</v>
      </c>
      <c r="C441" s="9">
        <v>70278</v>
      </c>
      <c r="D441" s="9">
        <v>5798476.5</v>
      </c>
      <c r="E441" s="7" cm="1">
        <f t="array" ref="E441">_xlfn.XLOOKUP(1,(Лист2!$A$2:$A$505=A441)*(Лист2!$B$2:$B$505=B441),(Лист2!$C$2:$C$505))</f>
        <v>36</v>
      </c>
      <c r="F441" s="7" cm="1">
        <f t="array" ref="F441">_xlfn.XLOOKUP(1, (Лист2!$A$2:$A$505=A441)*(Лист2!$B$2:$B$505=B441), Лист2!$D$2:$D$505)</f>
        <v>4885</v>
      </c>
      <c r="G441" s="7" cm="1">
        <f t="array" ref="G441">_xlfn.XLOOKUP(1, (Лист2!$A$2:$A$505=A441)*(Лист2!$B$2:$B$505=B441), Лист2!$E$2:$E$505)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5">
      <c r="A442" s="5">
        <v>43965</v>
      </c>
      <c r="B442" s="6" t="s">
        <v>16</v>
      </c>
      <c r="C442" s="6">
        <v>63645</v>
      </c>
      <c r="D442" s="6">
        <v>5366602.5</v>
      </c>
      <c r="E442" s="7" cm="1">
        <f t="array" ref="E442">_xlfn.XLOOKUP(1,(Лист2!$A$2:$A$505=A442)*(Лист2!$B$2:$B$505=B442),(Лист2!$C$2:$C$505))</f>
        <v>36</v>
      </c>
      <c r="F442" s="7" cm="1">
        <f t="array" ref="F442">_xlfn.XLOOKUP(1, (Лист2!$A$2:$A$505=A442)*(Лист2!$B$2:$B$505=B442), Лист2!$D$2:$D$505)</f>
        <v>4285</v>
      </c>
      <c r="G442" s="7" cm="1">
        <f t="array" ref="G442">_xlfn.XLOOKUP(1, (Лист2!$A$2:$A$505=A442)*(Лист2!$B$2:$B$505=B442), Лист2!$E$2:$E$505)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5">
      <c r="A443" s="8">
        <v>43966</v>
      </c>
      <c r="B443" s="9" t="s">
        <v>16</v>
      </c>
      <c r="C443" s="9">
        <v>75642</v>
      </c>
      <c r="D443" s="9">
        <v>6293952</v>
      </c>
      <c r="E443" s="7" cm="1">
        <f t="array" ref="E443">_xlfn.XLOOKUP(1,(Лист2!$A$2:$A$505=A443)*(Лист2!$B$2:$B$505=B443),(Лист2!$C$2:$C$505))</f>
        <v>36</v>
      </c>
      <c r="F443" s="7" cm="1">
        <f t="array" ref="F443">_xlfn.XLOOKUP(1, (Лист2!$A$2:$A$505=A443)*(Лист2!$B$2:$B$505=B443), Лист2!$D$2:$D$505)</f>
        <v>4862</v>
      </c>
      <c r="G443" s="7" cm="1">
        <f t="array" ref="G443">_xlfn.XLOOKUP(1, (Лист2!$A$2:$A$505=A443)*(Лист2!$B$2:$B$505=B443), Лист2!$E$2:$E$505)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5">
      <c r="A444" s="5">
        <v>43978</v>
      </c>
      <c r="B444" s="6" t="s">
        <v>17</v>
      </c>
      <c r="C444" s="6">
        <v>40420.5</v>
      </c>
      <c r="D444" s="6">
        <v>3780852</v>
      </c>
      <c r="E444" s="7" cm="1">
        <f t="array" ref="E444">_xlfn.XLOOKUP(1,(Лист2!$A$2:$A$505=A444)*(Лист2!$B$2:$B$505=B444),(Лист2!$C$2:$C$505))</f>
        <v>21</v>
      </c>
      <c r="F444" s="7" cm="1">
        <f t="array" ref="F444">_xlfn.XLOOKUP(1, (Лист2!$A$2:$A$505=A444)*(Лист2!$B$2:$B$505=B444), Лист2!$D$2:$D$505)</f>
        <v>2430</v>
      </c>
      <c r="G444" s="7" cm="1">
        <f t="array" ref="G444">_xlfn.XLOOKUP(1, (Лист2!$A$2:$A$505=A444)*(Лист2!$B$2:$B$505=B444), Лист2!$E$2:$E$505)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5">
      <c r="A445" s="8">
        <v>43973</v>
      </c>
      <c r="B445" s="9" t="s">
        <v>17</v>
      </c>
      <c r="C445" s="9">
        <v>53838</v>
      </c>
      <c r="D445" s="9">
        <v>4840833</v>
      </c>
      <c r="E445" s="7" cm="1">
        <f t="array" ref="E445">_xlfn.XLOOKUP(1,(Лист2!$A$2:$A$505=A445)*(Лист2!$B$2:$B$505=B445),(Лист2!$C$2:$C$505))</f>
        <v>21</v>
      </c>
      <c r="F445" s="7" cm="1">
        <f t="array" ref="F445">_xlfn.XLOOKUP(1, (Лист2!$A$2:$A$505=A445)*(Лист2!$B$2:$B$505=B445), Лист2!$D$2:$D$505)</f>
        <v>2861</v>
      </c>
      <c r="G445" s="7" cm="1">
        <f t="array" ref="G445">_xlfn.XLOOKUP(1, (Лист2!$A$2:$A$505=A445)*(Лист2!$B$2:$B$505=B445), Лист2!$E$2:$E$505)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5">
      <c r="A446" s="5">
        <v>43983</v>
      </c>
      <c r="B446" s="6" t="s">
        <v>17</v>
      </c>
      <c r="C446" s="6">
        <v>40528.5</v>
      </c>
      <c r="D446" s="6">
        <v>3865251</v>
      </c>
      <c r="E446" s="7" cm="1">
        <f t="array" ref="E446">_xlfn.XLOOKUP(1,(Лист2!$A$2:$A$505=A446)*(Лист2!$B$2:$B$505=B446),(Лист2!$C$2:$C$505))</f>
        <v>23</v>
      </c>
      <c r="F446" s="7" cm="1">
        <f t="array" ref="F446">_xlfn.XLOOKUP(1, (Лист2!$A$2:$A$505=A446)*(Лист2!$B$2:$B$505=B446), Лист2!$D$2:$D$505)</f>
        <v>2531</v>
      </c>
      <c r="G446" s="7" cm="1">
        <f t="array" ref="G446">_xlfn.XLOOKUP(1, (Лист2!$A$2:$A$505=A446)*(Лист2!$B$2:$B$505=B446), Лист2!$E$2:$E$505)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5">
      <c r="A447" s="8">
        <v>43962</v>
      </c>
      <c r="B447" s="9" t="s">
        <v>17</v>
      </c>
      <c r="C447" s="9">
        <v>32733</v>
      </c>
      <c r="D447" s="9">
        <v>3079630.5</v>
      </c>
      <c r="E447" s="7" cm="1">
        <f t="array" ref="E447">_xlfn.XLOOKUP(1,(Лист2!$A$2:$A$505=A447)*(Лист2!$B$2:$B$505=B447),(Лист2!$C$2:$C$505))</f>
        <v>21</v>
      </c>
      <c r="F447" s="7" cm="1">
        <f t="array" ref="F447">_xlfn.XLOOKUP(1, (Лист2!$A$2:$A$505=A447)*(Лист2!$B$2:$B$505=B447), Лист2!$D$2:$D$505)</f>
        <v>1916</v>
      </c>
      <c r="G447" s="7" cm="1">
        <f t="array" ref="G447">_xlfn.XLOOKUP(1, (Лист2!$A$2:$A$505=A447)*(Лист2!$B$2:$B$505=B447), Лист2!$E$2:$E$505)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5">
      <c r="A448" s="5">
        <v>43980</v>
      </c>
      <c r="B448" s="6" t="s">
        <v>16</v>
      </c>
      <c r="C448" s="6">
        <v>84433.5</v>
      </c>
      <c r="D448" s="6">
        <v>7228395</v>
      </c>
      <c r="E448" s="7" cm="1">
        <f t="array" ref="E448">_xlfn.XLOOKUP(1,(Лист2!$A$2:$A$505=A448)*(Лист2!$B$2:$B$505=B448),(Лист2!$C$2:$C$505))</f>
        <v>37</v>
      </c>
      <c r="F448" s="7" cm="1">
        <f t="array" ref="F448">_xlfn.XLOOKUP(1, (Лист2!$A$2:$A$505=A448)*(Лист2!$B$2:$B$505=B448), Лист2!$D$2:$D$505)</f>
        <v>5672</v>
      </c>
      <c r="G448" s="7" cm="1">
        <f t="array" ref="G448">_xlfn.XLOOKUP(1, (Лист2!$A$2:$A$505=A448)*(Лист2!$B$2:$B$505=B448), Лист2!$E$2:$E$505)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5">
      <c r="A449" s="8">
        <v>43969</v>
      </c>
      <c r="B449" s="9" t="s">
        <v>17</v>
      </c>
      <c r="C449" s="9">
        <v>36655.5</v>
      </c>
      <c r="D449" s="9">
        <v>3360135</v>
      </c>
      <c r="E449" s="7" cm="1">
        <f t="array" ref="E449">_xlfn.XLOOKUP(1,(Лист2!$A$2:$A$505=A449)*(Лист2!$B$2:$B$505=B449),(Лист2!$C$2:$C$505))</f>
        <v>21</v>
      </c>
      <c r="F449" s="7" cm="1">
        <f t="array" ref="F449">_xlfn.XLOOKUP(1, (Лист2!$A$2:$A$505=A449)*(Лист2!$B$2:$B$505=B449), Лист2!$D$2:$D$505)</f>
        <v>2136</v>
      </c>
      <c r="G449" s="7" cm="1">
        <f t="array" ref="G449">_xlfn.XLOOKUP(1, (Лист2!$A$2:$A$505=A449)*(Лист2!$B$2:$B$505=B449), Лист2!$E$2:$E$505)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5">
      <c r="A450" s="5">
        <v>43965</v>
      </c>
      <c r="B450" s="6" t="s">
        <v>17</v>
      </c>
      <c r="C450" s="6">
        <v>33886.5</v>
      </c>
      <c r="D450" s="6">
        <v>3166479</v>
      </c>
      <c r="E450" s="7" cm="1">
        <f t="array" ref="E450">_xlfn.XLOOKUP(1,(Лист2!$A$2:$A$505=A450)*(Лист2!$B$2:$B$505=B450),(Лист2!$C$2:$C$505))</f>
        <v>21</v>
      </c>
      <c r="F450" s="7" cm="1">
        <f t="array" ref="F450">_xlfn.XLOOKUP(1, (Лист2!$A$2:$A$505=A450)*(Лист2!$B$2:$B$505=B450), Лист2!$D$2:$D$505)</f>
        <v>1993</v>
      </c>
      <c r="G450" s="7" cm="1">
        <f t="array" ref="G450">_xlfn.XLOOKUP(1, (Лист2!$A$2:$A$505=A450)*(Лист2!$B$2:$B$505=B450), Лист2!$E$2:$E$505)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35">
      <c r="A451" s="8">
        <v>43966</v>
      </c>
      <c r="B451" s="9" t="s">
        <v>17</v>
      </c>
      <c r="C451" s="9">
        <v>41697</v>
      </c>
      <c r="D451" s="9">
        <v>3772258.5</v>
      </c>
      <c r="E451" s="7" cm="1">
        <f t="array" ref="E451">_xlfn.XLOOKUP(1,(Лист2!$A$2:$A$505=A451)*(Лист2!$B$2:$B$505=B451),(Лист2!$C$2:$C$505))</f>
        <v>21</v>
      </c>
      <c r="F451" s="7" cm="1">
        <f t="array" ref="F451">_xlfn.XLOOKUP(1, (Лист2!$A$2:$A$505=A451)*(Лист2!$B$2:$B$505=B451), Лист2!$D$2:$D$505)</f>
        <v>2255</v>
      </c>
      <c r="G451" s="7" cm="1">
        <f t="array" ref="G451">_xlfn.XLOOKUP(1, (Лист2!$A$2:$A$505=A451)*(Лист2!$B$2:$B$505=B451), Лист2!$E$2:$E$505)</f>
        <v>2045</v>
      </c>
      <c r="H451">
        <f t="shared" ref="H451:H505" si="14">D451/E451</f>
        <v>179631.35714285713</v>
      </c>
      <c r="I451">
        <f t="shared" ref="I451:I505" si="15">_xlfn.ISOWEEKNUM(A451)</f>
        <v>20</v>
      </c>
    </row>
    <row r="452" spans="1:9" ht="14.25" customHeight="1" x14ac:dyDescent="0.35">
      <c r="A452" s="5">
        <v>43980</v>
      </c>
      <c r="B452" s="6" t="s">
        <v>17</v>
      </c>
      <c r="C452" s="6">
        <v>44569.5</v>
      </c>
      <c r="D452" s="6">
        <v>4108596</v>
      </c>
      <c r="E452" s="7" cm="1">
        <f t="array" ref="E452">_xlfn.XLOOKUP(1,(Лист2!$A$2:$A$505=A452)*(Лист2!$B$2:$B$505=B452),(Лист2!$C$2:$C$505))</f>
        <v>22</v>
      </c>
      <c r="F452" s="7" cm="1">
        <f t="array" ref="F452">_xlfn.XLOOKUP(1, (Лист2!$A$2:$A$505=A452)*(Лист2!$B$2:$B$505=B452), Лист2!$D$2:$D$505)</f>
        <v>2597</v>
      </c>
      <c r="G452" s="7" cm="1">
        <f t="array" ref="G452">_xlfn.XLOOKUP(1, (Лист2!$A$2:$A$505=A452)*(Лист2!$B$2:$B$505=B452), Лист2!$E$2:$E$505)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5">
      <c r="A453" s="8">
        <v>43978</v>
      </c>
      <c r="B453" s="9" t="s">
        <v>18</v>
      </c>
      <c r="C453" s="9">
        <v>18069</v>
      </c>
      <c r="D453" s="9">
        <v>1603084.5</v>
      </c>
      <c r="E453" s="7" cm="1">
        <f t="array" ref="E453">_xlfn.XLOOKUP(1,(Лист2!$A$2:$A$505=A453)*(Лист2!$B$2:$B$505=B453),(Лист2!$C$2:$C$505))</f>
        <v>17</v>
      </c>
      <c r="F453" s="7" cm="1">
        <f t="array" ref="F453">_xlfn.XLOOKUP(1, (Лист2!$A$2:$A$505=A453)*(Лист2!$B$2:$B$505=B453), Лист2!$D$2:$D$505)</f>
        <v>1203</v>
      </c>
      <c r="G453" s="7" cm="1">
        <f t="array" ref="G453">_xlfn.XLOOKUP(1, (Лист2!$A$2:$A$505=A453)*(Лист2!$B$2:$B$505=B453), Лист2!$E$2:$E$505)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5">
      <c r="A454" s="5">
        <v>43973</v>
      </c>
      <c r="B454" s="6" t="s">
        <v>18</v>
      </c>
      <c r="C454" s="6">
        <v>21483</v>
      </c>
      <c r="D454" s="6">
        <v>1774329</v>
      </c>
      <c r="E454" s="7" cm="1">
        <f t="array" ref="E454">_xlfn.XLOOKUP(1,(Лист2!$A$2:$A$505=A454)*(Лист2!$B$2:$B$505=B454),(Лист2!$C$2:$C$505))</f>
        <v>17</v>
      </c>
      <c r="F454" s="7" cm="1">
        <f t="array" ref="F454">_xlfn.XLOOKUP(1, (Лист2!$A$2:$A$505=A454)*(Лист2!$B$2:$B$505=B454), Лист2!$D$2:$D$505)</f>
        <v>1268</v>
      </c>
      <c r="G454" s="7" cm="1">
        <f t="array" ref="G454">_xlfn.XLOOKUP(1, (Лист2!$A$2:$A$505=A454)*(Лист2!$B$2:$B$505=B454), Лист2!$E$2:$E$505)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5">
      <c r="A455" s="8">
        <v>43983</v>
      </c>
      <c r="B455" s="9" t="s">
        <v>18</v>
      </c>
      <c r="C455" s="9">
        <v>16687.5</v>
      </c>
      <c r="D455" s="9">
        <v>1526608.5</v>
      </c>
      <c r="E455" s="7" cm="1">
        <f t="array" ref="E455">_xlfn.XLOOKUP(1,(Лист2!$A$2:$A$505=A455)*(Лист2!$B$2:$B$505=B455),(Лист2!$C$2:$C$505))</f>
        <v>17</v>
      </c>
      <c r="F455" s="7" cm="1">
        <f t="array" ref="F455">_xlfn.XLOOKUP(1, (Лист2!$A$2:$A$505=A455)*(Лист2!$B$2:$B$505=B455), Лист2!$D$2:$D$505)</f>
        <v>1185</v>
      </c>
      <c r="G455" s="7" cm="1">
        <f t="array" ref="G455">_xlfn.XLOOKUP(1, (Лист2!$A$2:$A$505=A455)*(Лист2!$B$2:$B$505=B455), Лист2!$E$2:$E$505)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5">
      <c r="A456" s="5">
        <v>43962</v>
      </c>
      <c r="B456" s="6" t="s">
        <v>18</v>
      </c>
      <c r="C456" s="6">
        <v>12238.5</v>
      </c>
      <c r="D456" s="6">
        <v>1096002</v>
      </c>
      <c r="E456" s="7" cm="1">
        <f t="array" ref="E456">_xlfn.XLOOKUP(1,(Лист2!$A$2:$A$505=A456)*(Лист2!$B$2:$B$505=B456),(Лист2!$C$2:$C$505))</f>
        <v>15</v>
      </c>
      <c r="F456" s="7" cm="1">
        <f t="array" ref="F456">_xlfn.XLOOKUP(1, (Лист2!$A$2:$A$505=A456)*(Лист2!$B$2:$B$505=B456), Лист2!$D$2:$D$505)</f>
        <v>812</v>
      </c>
      <c r="G456" s="7" cm="1">
        <f t="array" ref="G456">_xlfn.XLOOKUP(1, (Лист2!$A$2:$A$505=A456)*(Лист2!$B$2:$B$505=B456), Лист2!$E$2:$E$505)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5">
      <c r="A457" s="8">
        <v>43969</v>
      </c>
      <c r="B457" s="9" t="s">
        <v>18</v>
      </c>
      <c r="C457" s="9">
        <v>14290.5</v>
      </c>
      <c r="D457" s="9">
        <v>1246162.5</v>
      </c>
      <c r="E457" s="7" cm="1">
        <f t="array" ref="E457">_xlfn.XLOOKUP(1,(Лист2!$A$2:$A$505=A457)*(Лист2!$B$2:$B$505=B457),(Лист2!$C$2:$C$505))</f>
        <v>16</v>
      </c>
      <c r="F457" s="7" cm="1">
        <f t="array" ref="F457">_xlfn.XLOOKUP(1, (Лист2!$A$2:$A$505=A457)*(Лист2!$B$2:$B$505=B457), Лист2!$D$2:$D$505)</f>
        <v>925</v>
      </c>
      <c r="G457" s="7" cm="1">
        <f t="array" ref="G457">_xlfn.XLOOKUP(1, (Лист2!$A$2:$A$505=A457)*(Лист2!$B$2:$B$505=B457), Лист2!$E$2:$E$505)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5">
      <c r="A458" s="5">
        <v>43965</v>
      </c>
      <c r="B458" s="6" t="s">
        <v>18</v>
      </c>
      <c r="C458" s="6">
        <v>14385</v>
      </c>
      <c r="D458" s="6">
        <v>1223491.5</v>
      </c>
      <c r="E458" s="7" cm="1">
        <f t="array" ref="E458">_xlfn.XLOOKUP(1,(Лист2!$A$2:$A$505=A458)*(Лист2!$B$2:$B$505=B458),(Лист2!$C$2:$C$505))</f>
        <v>15</v>
      </c>
      <c r="F458" s="7" cm="1">
        <f t="array" ref="F458">_xlfn.XLOOKUP(1, (Лист2!$A$2:$A$505=A458)*(Лист2!$B$2:$B$505=B458), Лист2!$D$2:$D$505)</f>
        <v>890</v>
      </c>
      <c r="G458" s="7" cm="1">
        <f t="array" ref="G458">_xlfn.XLOOKUP(1, (Лист2!$A$2:$A$505=A458)*(Лист2!$B$2:$B$505=B458), Лист2!$E$2:$E$505)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5">
      <c r="A459" s="8">
        <v>43966</v>
      </c>
      <c r="B459" s="9" t="s">
        <v>18</v>
      </c>
      <c r="C459" s="9">
        <v>16498.5</v>
      </c>
      <c r="D459" s="9">
        <v>1370482.5</v>
      </c>
      <c r="E459" s="7" cm="1">
        <f t="array" ref="E459">_xlfn.XLOOKUP(1,(Лист2!$A$2:$A$505=A459)*(Лист2!$B$2:$B$505=B459),(Лист2!$C$2:$C$505))</f>
        <v>15</v>
      </c>
      <c r="F459" s="7" cm="1">
        <f t="array" ref="F459">_xlfn.XLOOKUP(1, (Лист2!$A$2:$A$505=A459)*(Лист2!$B$2:$B$505=B459), Лист2!$D$2:$D$505)</f>
        <v>980</v>
      </c>
      <c r="G459" s="7" cm="1">
        <f t="array" ref="G459">_xlfn.XLOOKUP(1, (Лист2!$A$2:$A$505=A459)*(Лист2!$B$2:$B$505=B459), Лист2!$E$2:$E$505)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5">
      <c r="A460" s="5">
        <v>43978</v>
      </c>
      <c r="B460" s="6" t="s">
        <v>19</v>
      </c>
      <c r="C460" s="6">
        <v>13203</v>
      </c>
      <c r="D460" s="6">
        <v>1211457</v>
      </c>
      <c r="E460" s="7" cm="1">
        <f t="array" ref="E460">_xlfn.XLOOKUP(1,(Лист2!$A$2:$A$505=A460)*(Лист2!$B$2:$B$505=B460),(Лист2!$C$2:$C$505))</f>
        <v>15</v>
      </c>
      <c r="F460" s="7" cm="1">
        <f t="array" ref="F460">_xlfn.XLOOKUP(1, (Лист2!$A$2:$A$505=A460)*(Лист2!$B$2:$B$505=B460), Лист2!$D$2:$D$505)</f>
        <v>809</v>
      </c>
      <c r="G460" s="7" cm="1">
        <f t="array" ref="G460">_xlfn.XLOOKUP(1, (Лист2!$A$2:$A$505=A460)*(Лист2!$B$2:$B$505=B460), Лист2!$E$2:$E$505)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5">
      <c r="A461" s="8">
        <v>43973</v>
      </c>
      <c r="B461" s="9" t="s">
        <v>19</v>
      </c>
      <c r="C461" s="9">
        <v>15802.5</v>
      </c>
      <c r="D461" s="9">
        <v>1411909.5</v>
      </c>
      <c r="E461" s="7" cm="1">
        <f t="array" ref="E461">_xlfn.XLOOKUP(1,(Лист2!$A$2:$A$505=A461)*(Лист2!$B$2:$B$505=B461),(Лист2!$C$2:$C$505))</f>
        <v>15</v>
      </c>
      <c r="F461" s="7" cm="1">
        <f t="array" ref="F461">_xlfn.XLOOKUP(1, (Лист2!$A$2:$A$505=A461)*(Лист2!$B$2:$B$505=B461), Лист2!$D$2:$D$505)</f>
        <v>903</v>
      </c>
      <c r="G461" s="7" cm="1">
        <f t="array" ref="G461">_xlfn.XLOOKUP(1, (Лист2!$A$2:$A$505=A461)*(Лист2!$B$2:$B$505=B461), Лист2!$E$2:$E$505)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5">
      <c r="A462" s="5">
        <v>43983</v>
      </c>
      <c r="B462" s="6" t="s">
        <v>19</v>
      </c>
      <c r="C462" s="6">
        <v>16476</v>
      </c>
      <c r="D462" s="6">
        <v>1565632.5</v>
      </c>
      <c r="E462" s="7" cm="1">
        <f t="array" ref="E462">_xlfn.XLOOKUP(1,(Лист2!$A$2:$A$505=A462)*(Лист2!$B$2:$B$505=B462),(Лист2!$C$2:$C$505))</f>
        <v>16</v>
      </c>
      <c r="F462" s="7" cm="1">
        <f t="array" ref="F462">_xlfn.XLOOKUP(1, (Лист2!$A$2:$A$505=A462)*(Лист2!$B$2:$B$505=B462), Лист2!$D$2:$D$505)</f>
        <v>1019</v>
      </c>
      <c r="G462" s="7" cm="1">
        <f t="array" ref="G462">_xlfn.XLOOKUP(1, (Лист2!$A$2:$A$505=A462)*(Лист2!$B$2:$B$505=B462), Лист2!$E$2:$E$505)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5">
      <c r="A463" s="8">
        <v>43962</v>
      </c>
      <c r="B463" s="9" t="s">
        <v>19</v>
      </c>
      <c r="C463" s="9">
        <v>12654</v>
      </c>
      <c r="D463" s="9">
        <v>1081158</v>
      </c>
      <c r="E463" s="7" cm="1">
        <f t="array" ref="E463">_xlfn.XLOOKUP(1,(Лист2!$A$2:$A$505=A463)*(Лист2!$B$2:$B$505=B463),(Лист2!$C$2:$C$505))</f>
        <v>15</v>
      </c>
      <c r="F463" s="7" cm="1">
        <f t="array" ref="F463">_xlfn.XLOOKUP(1, (Лист2!$A$2:$A$505=A463)*(Лист2!$B$2:$B$505=B463), Лист2!$D$2:$D$505)</f>
        <v>684</v>
      </c>
      <c r="G463" s="7" cm="1">
        <f t="array" ref="G463">_xlfn.XLOOKUP(1, (Лист2!$A$2:$A$505=A463)*(Лист2!$B$2:$B$505=B463), Лист2!$E$2:$E$505)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5">
      <c r="A464" s="5">
        <v>43980</v>
      </c>
      <c r="B464" s="6" t="s">
        <v>18</v>
      </c>
      <c r="C464" s="6">
        <v>19647</v>
      </c>
      <c r="D464" s="6">
        <v>1764669</v>
      </c>
      <c r="E464" s="7" cm="1">
        <f t="array" ref="E464">_xlfn.XLOOKUP(1,(Лист2!$A$2:$A$505=A464)*(Лист2!$B$2:$B$505=B464),(Лист2!$C$2:$C$505))</f>
        <v>17</v>
      </c>
      <c r="F464" s="7" cm="1">
        <f t="array" ref="F464">_xlfn.XLOOKUP(1, (Лист2!$A$2:$A$505=A464)*(Лист2!$B$2:$B$505=B464), Лист2!$D$2:$D$505)</f>
        <v>1296</v>
      </c>
      <c r="G464" s="7" cm="1">
        <f t="array" ref="G464">_xlfn.XLOOKUP(1, (Лист2!$A$2:$A$505=A464)*(Лист2!$B$2:$B$505=B464), Лист2!$E$2:$E$505)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5">
      <c r="A465" s="8">
        <v>43969</v>
      </c>
      <c r="B465" s="9" t="s">
        <v>19</v>
      </c>
      <c r="C465" s="9">
        <v>12450</v>
      </c>
      <c r="D465" s="9">
        <v>1115146.5</v>
      </c>
      <c r="E465" s="7" cm="1">
        <f t="array" ref="E465">_xlfn.XLOOKUP(1,(Лист2!$A$2:$A$505=A465)*(Лист2!$B$2:$B$505=B465),(Лист2!$C$2:$C$505))</f>
        <v>15</v>
      </c>
      <c r="F465" s="7" cm="1">
        <f t="array" ref="F465">_xlfn.XLOOKUP(1, (Лист2!$A$2:$A$505=A465)*(Лист2!$B$2:$B$505=B465), Лист2!$D$2:$D$505)</f>
        <v>729</v>
      </c>
      <c r="G465" s="7" cm="1">
        <f t="array" ref="G465">_xlfn.XLOOKUP(1, (Лист2!$A$2:$A$505=A465)*(Лист2!$B$2:$B$505=B465), Лист2!$E$2:$E$505)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5">
      <c r="A466" s="5">
        <v>43965</v>
      </c>
      <c r="B466" s="6" t="s">
        <v>19</v>
      </c>
      <c r="C466" s="6">
        <v>11161.5</v>
      </c>
      <c r="D466" s="6">
        <v>963502.5</v>
      </c>
      <c r="E466" s="7" cm="1">
        <f t="array" ref="E466">_xlfn.XLOOKUP(1,(Лист2!$A$2:$A$505=A466)*(Лист2!$B$2:$B$505=B466),(Лист2!$C$2:$C$505))</f>
        <v>15</v>
      </c>
      <c r="F466" s="7" cm="1">
        <f t="array" ref="F466">_xlfn.XLOOKUP(1, (Лист2!$A$2:$A$505=A466)*(Лист2!$B$2:$B$505=B466), Лист2!$D$2:$D$505)</f>
        <v>638</v>
      </c>
      <c r="G466" s="7" cm="1">
        <f t="array" ref="G466">_xlfn.XLOOKUP(1, (Лист2!$A$2:$A$505=A466)*(Лист2!$B$2:$B$505=B466), Лист2!$E$2:$E$505)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5">
      <c r="A467" s="8">
        <v>43966</v>
      </c>
      <c r="B467" s="9" t="s">
        <v>19</v>
      </c>
      <c r="C467" s="9">
        <v>12229.5</v>
      </c>
      <c r="D467" s="9">
        <v>1122730.5</v>
      </c>
      <c r="E467" s="7" cm="1">
        <f t="array" ref="E467">_xlfn.XLOOKUP(1,(Лист2!$A$2:$A$505=A467)*(Лист2!$B$2:$B$505=B467),(Лист2!$C$2:$C$505))</f>
        <v>15</v>
      </c>
      <c r="F467" s="7" cm="1">
        <f t="array" ref="F467">_xlfn.XLOOKUP(1, (Лист2!$A$2:$A$505=A467)*(Лист2!$B$2:$B$505=B467), Лист2!$D$2:$D$505)</f>
        <v>688</v>
      </c>
      <c r="G467" s="7" cm="1">
        <f t="array" ref="G467">_xlfn.XLOOKUP(1, (Лист2!$A$2:$A$505=A467)*(Лист2!$B$2:$B$505=B467), Лист2!$E$2:$E$505)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5">
      <c r="A468" s="5">
        <v>43978</v>
      </c>
      <c r="B468" s="6" t="s">
        <v>20</v>
      </c>
      <c r="C468" s="6">
        <v>28050</v>
      </c>
      <c r="D468" s="6">
        <v>2458555.5</v>
      </c>
      <c r="E468" s="7" cm="1">
        <f t="array" ref="E468">_xlfn.XLOOKUP(1,(Лист2!$A$2:$A$505=A468)*(Лист2!$B$2:$B$505=B468),(Лист2!$C$2:$C$505))</f>
        <v>20</v>
      </c>
      <c r="F468" s="7" cm="1">
        <f t="array" ref="F468">_xlfn.XLOOKUP(1, (Лист2!$A$2:$A$505=A468)*(Лист2!$B$2:$B$505=B468), Лист2!$D$2:$D$505)</f>
        <v>1873</v>
      </c>
      <c r="G468" s="7" cm="1">
        <f t="array" ref="G468">_xlfn.XLOOKUP(1, (Лист2!$A$2:$A$505=A468)*(Лист2!$B$2:$B$505=B468), Лист2!$E$2:$E$505)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5">
      <c r="A469" s="8">
        <v>43973</v>
      </c>
      <c r="B469" s="9" t="s">
        <v>20</v>
      </c>
      <c r="C469" s="9">
        <v>30781.5</v>
      </c>
      <c r="D469" s="9">
        <v>2540715</v>
      </c>
      <c r="E469" s="7" cm="1">
        <f t="array" ref="E469">_xlfn.XLOOKUP(1,(Лист2!$A$2:$A$505=A469)*(Лист2!$B$2:$B$505=B469),(Лист2!$C$2:$C$505))</f>
        <v>19</v>
      </c>
      <c r="F469" s="7" cm="1">
        <f t="array" ref="F469">_xlfn.XLOOKUP(1, (Лист2!$A$2:$A$505=A469)*(Лист2!$B$2:$B$505=B469), Лист2!$D$2:$D$505)</f>
        <v>1859</v>
      </c>
      <c r="G469" s="7" cm="1">
        <f t="array" ref="G469">_xlfn.XLOOKUP(1, (Лист2!$A$2:$A$505=A469)*(Лист2!$B$2:$B$505=B469), Лист2!$E$2:$E$505)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5">
      <c r="A470" s="5">
        <v>43983</v>
      </c>
      <c r="B470" s="6" t="s">
        <v>20</v>
      </c>
      <c r="C470" s="6">
        <v>27960</v>
      </c>
      <c r="D470" s="6">
        <v>2538967.5</v>
      </c>
      <c r="E470" s="7" cm="1">
        <f t="array" ref="E470">_xlfn.XLOOKUP(1,(Лист2!$A$2:$A$505=A470)*(Лист2!$B$2:$B$505=B470),(Лист2!$C$2:$C$505))</f>
        <v>21</v>
      </c>
      <c r="F470" s="7" cm="1">
        <f t="array" ref="F470">_xlfn.XLOOKUP(1, (Лист2!$A$2:$A$505=A470)*(Лист2!$B$2:$B$505=B470), Лист2!$D$2:$D$505)</f>
        <v>1879</v>
      </c>
      <c r="G470" s="7" cm="1">
        <f t="array" ref="G470">_xlfn.XLOOKUP(1, (Лист2!$A$2:$A$505=A470)*(Лист2!$B$2:$B$505=B470), Лист2!$E$2:$E$505)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5">
      <c r="A471" s="8">
        <v>43962</v>
      </c>
      <c r="B471" s="9" t="s">
        <v>20</v>
      </c>
      <c r="C471" s="9">
        <v>23629.5</v>
      </c>
      <c r="D471" s="9">
        <v>2164365</v>
      </c>
      <c r="E471" s="7" cm="1">
        <f t="array" ref="E471">_xlfn.XLOOKUP(1,(Лист2!$A$2:$A$505=A471)*(Лист2!$B$2:$B$505=B471),(Лист2!$C$2:$C$505))</f>
        <v>19</v>
      </c>
      <c r="F471" s="7" cm="1">
        <f t="array" ref="F471">_xlfn.XLOOKUP(1, (Лист2!$A$2:$A$505=A471)*(Лист2!$B$2:$B$505=B471), Лист2!$D$2:$D$505)</f>
        <v>1527</v>
      </c>
      <c r="G471" s="7" cm="1">
        <f t="array" ref="G471">_xlfn.XLOOKUP(1, (Лист2!$A$2:$A$505=A471)*(Лист2!$B$2:$B$505=B471), Лист2!$E$2:$E$505)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5">
      <c r="A472" s="5">
        <v>43980</v>
      </c>
      <c r="B472" s="6" t="s">
        <v>19</v>
      </c>
      <c r="C472" s="6">
        <v>17052</v>
      </c>
      <c r="D472" s="6">
        <v>1549020</v>
      </c>
      <c r="E472" s="7" cm="1">
        <f t="array" ref="E472">_xlfn.XLOOKUP(1,(Лист2!$A$2:$A$505=A472)*(Лист2!$B$2:$B$505=B472),(Лист2!$C$2:$C$505))</f>
        <v>16</v>
      </c>
      <c r="F472" s="7" cm="1">
        <f t="array" ref="F472">_xlfn.XLOOKUP(1, (Лист2!$A$2:$A$505=A472)*(Лист2!$B$2:$B$505=B472), Лист2!$D$2:$D$505)</f>
        <v>981</v>
      </c>
      <c r="G472" s="7" cm="1">
        <f t="array" ref="G472">_xlfn.XLOOKUP(1, (Лист2!$A$2:$A$505=A472)*(Лист2!$B$2:$B$505=B472), Лист2!$E$2:$E$505)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5">
      <c r="A473" s="8">
        <v>43969</v>
      </c>
      <c r="B473" s="9" t="s">
        <v>20</v>
      </c>
      <c r="C473" s="9">
        <v>27181.5</v>
      </c>
      <c r="D473" s="9">
        <v>2324490</v>
      </c>
      <c r="E473" s="7" cm="1">
        <f t="array" ref="E473">_xlfn.XLOOKUP(1,(Лист2!$A$2:$A$505=A473)*(Лист2!$B$2:$B$505=B473),(Лист2!$C$2:$C$505))</f>
        <v>19</v>
      </c>
      <c r="F473" s="7" cm="1">
        <f t="array" ref="F473">_xlfn.XLOOKUP(1, (Лист2!$A$2:$A$505=A473)*(Лист2!$B$2:$B$505=B473), Лист2!$D$2:$D$505)</f>
        <v>1741</v>
      </c>
      <c r="G473" s="7" cm="1">
        <f t="array" ref="G473">_xlfn.XLOOKUP(1, (Лист2!$A$2:$A$505=A473)*(Лист2!$B$2:$B$505=B473), Лист2!$E$2:$E$505)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5">
      <c r="A474" s="5">
        <v>43965</v>
      </c>
      <c r="B474" s="6" t="s">
        <v>20</v>
      </c>
      <c r="C474" s="6">
        <v>25656</v>
      </c>
      <c r="D474" s="6">
        <v>2225341.5</v>
      </c>
      <c r="E474" s="7" cm="1">
        <f t="array" ref="E474">_xlfn.XLOOKUP(1,(Лист2!$A$2:$A$505=A474)*(Лист2!$B$2:$B$505=B474),(Лист2!$C$2:$C$505))</f>
        <v>19</v>
      </c>
      <c r="F474" s="7" cm="1">
        <f t="array" ref="F474">_xlfn.XLOOKUP(1, (Лист2!$A$2:$A$505=A474)*(Лист2!$B$2:$B$505=B474), Лист2!$D$2:$D$505)</f>
        <v>1635</v>
      </c>
      <c r="G474" s="7" cm="1">
        <f t="array" ref="G474">_xlfn.XLOOKUP(1, (Лист2!$A$2:$A$505=A474)*(Лист2!$B$2:$B$505=B474), Лист2!$E$2:$E$505)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5">
      <c r="A475" s="8">
        <v>43966</v>
      </c>
      <c r="B475" s="9" t="s">
        <v>20</v>
      </c>
      <c r="C475" s="9">
        <v>29283</v>
      </c>
      <c r="D475" s="9">
        <v>2477487</v>
      </c>
      <c r="E475" s="7" cm="1">
        <f t="array" ref="E475">_xlfn.XLOOKUP(1,(Лист2!$A$2:$A$505=A475)*(Лист2!$B$2:$B$505=B475),(Лист2!$C$2:$C$505))</f>
        <v>19</v>
      </c>
      <c r="F475" s="7" cm="1">
        <f t="array" ref="F475">_xlfn.XLOOKUP(1, (Лист2!$A$2:$A$505=A475)*(Лист2!$B$2:$B$505=B475), Лист2!$D$2:$D$505)</f>
        <v>1780</v>
      </c>
      <c r="G475" s="7" cm="1">
        <f t="array" ref="G475">_xlfn.XLOOKUP(1, (Лист2!$A$2:$A$505=A475)*(Лист2!$B$2:$B$505=B475), Лист2!$E$2:$E$505)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5">
      <c r="A476" s="5">
        <v>43980</v>
      </c>
      <c r="B476" s="6" t="s">
        <v>20</v>
      </c>
      <c r="C476" s="6">
        <v>32782.5</v>
      </c>
      <c r="D476" s="6">
        <v>2854741.5</v>
      </c>
      <c r="E476" s="7" cm="1">
        <f t="array" ref="E476">_xlfn.XLOOKUP(1,(Лист2!$A$2:$A$505=A476)*(Лист2!$B$2:$B$505=B476),(Лист2!$C$2:$C$505))</f>
        <v>20</v>
      </c>
      <c r="F476" s="7" cm="1">
        <f t="array" ref="F476">_xlfn.XLOOKUP(1, (Лист2!$A$2:$A$505=A476)*(Лист2!$B$2:$B$505=B476), Лист2!$D$2:$D$505)</f>
        <v>2064</v>
      </c>
      <c r="G476" s="7" cm="1">
        <f t="array" ref="G476">_xlfn.XLOOKUP(1, (Лист2!$A$2:$A$505=A476)*(Лист2!$B$2:$B$505=B476), Лист2!$E$2:$E$505)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5">
      <c r="A477" s="8">
        <v>43978</v>
      </c>
      <c r="B477" s="9" t="s">
        <v>21</v>
      </c>
      <c r="C477" s="9">
        <v>215592</v>
      </c>
      <c r="D477" s="9">
        <v>22342300.5</v>
      </c>
      <c r="E477" s="7" cm="1">
        <f t="array" ref="E477">_xlfn.XLOOKUP(1,(Лист2!$A$2:$A$505=A477)*(Лист2!$B$2:$B$505=B477),(Лист2!$C$2:$C$505))</f>
        <v>59</v>
      </c>
      <c r="F477" s="7" cm="1">
        <f t="array" ref="F477">_xlfn.XLOOKUP(1, (Лист2!$A$2:$A$505=A477)*(Лист2!$B$2:$B$505=B477), Лист2!$D$2:$D$505)</f>
        <v>13942</v>
      </c>
      <c r="G477" s="7" cm="1">
        <f t="array" ref="G477">_xlfn.XLOOKUP(1, (Лист2!$A$2:$A$505=A477)*(Лист2!$B$2:$B$505=B477), Лист2!$E$2:$E$505)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5">
      <c r="A478" s="5">
        <v>43973</v>
      </c>
      <c r="B478" s="6" t="s">
        <v>21</v>
      </c>
      <c r="C478" s="6">
        <v>228334.5</v>
      </c>
      <c r="D478" s="6">
        <v>22380772.5</v>
      </c>
      <c r="E478" s="7" cm="1">
        <f t="array" ref="E478">_xlfn.XLOOKUP(1,(Лист2!$A$2:$A$505=A478)*(Лист2!$B$2:$B$505=B478),(Лист2!$C$2:$C$505))</f>
        <v>60</v>
      </c>
      <c r="F478" s="7" cm="1">
        <f t="array" ref="F478">_xlfn.XLOOKUP(1, (Лист2!$A$2:$A$505=A478)*(Лист2!$B$2:$B$505=B478), Лист2!$D$2:$D$505)</f>
        <v>14050</v>
      </c>
      <c r="G478" s="7" cm="1">
        <f t="array" ref="G478">_xlfn.XLOOKUP(1, (Лист2!$A$2:$A$505=A478)*(Лист2!$B$2:$B$505=B478), Лист2!$E$2:$E$505)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5">
      <c r="A479" s="8">
        <v>43983</v>
      </c>
      <c r="B479" s="9" t="s">
        <v>21</v>
      </c>
      <c r="C479" s="9">
        <v>188776.5</v>
      </c>
      <c r="D479" s="9">
        <v>19465372.5</v>
      </c>
      <c r="E479" s="7" cm="1">
        <f t="array" ref="E479">_xlfn.XLOOKUP(1,(Лист2!$A$2:$A$505=A479)*(Лист2!$B$2:$B$505=B479),(Лист2!$C$2:$C$505))</f>
        <v>59</v>
      </c>
      <c r="F479" s="7" cm="1">
        <f t="array" ref="F479">_xlfn.XLOOKUP(1, (Лист2!$A$2:$A$505=A479)*(Лист2!$B$2:$B$505=B479), Лист2!$D$2:$D$505)</f>
        <v>12299</v>
      </c>
      <c r="G479" s="7" cm="1">
        <f t="array" ref="G479">_xlfn.XLOOKUP(1, (Лист2!$A$2:$A$505=A479)*(Лист2!$B$2:$B$505=B479), Лист2!$E$2:$E$505)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5">
      <c r="A480" s="5">
        <v>43962</v>
      </c>
      <c r="B480" s="6" t="s">
        <v>21</v>
      </c>
      <c r="C480" s="6">
        <v>175293</v>
      </c>
      <c r="D480" s="6">
        <v>17919144</v>
      </c>
      <c r="E480" s="7" cm="1">
        <f t="array" ref="E480">_xlfn.XLOOKUP(1,(Лист2!$A$2:$A$505=A480)*(Лист2!$B$2:$B$505=B480),(Лист2!$C$2:$C$505))</f>
        <v>60</v>
      </c>
      <c r="F480" s="7" cm="1">
        <f t="array" ref="F480">_xlfn.XLOOKUP(1, (Лист2!$A$2:$A$505=A480)*(Лист2!$B$2:$B$505=B480), Лист2!$D$2:$D$505)</f>
        <v>11100</v>
      </c>
      <c r="G480" s="7" cm="1">
        <f t="array" ref="G480">_xlfn.XLOOKUP(1, (Лист2!$A$2:$A$505=A480)*(Лист2!$B$2:$B$505=B480), Лист2!$E$2:$E$505)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5">
      <c r="A481" s="8">
        <v>43969</v>
      </c>
      <c r="B481" s="9" t="s">
        <v>21</v>
      </c>
      <c r="C481" s="9">
        <v>201999</v>
      </c>
      <c r="D481" s="9">
        <v>20422435.5</v>
      </c>
      <c r="E481" s="7" cm="1">
        <f t="array" ref="E481">_xlfn.XLOOKUP(1,(Лист2!$A$2:$A$505=A481)*(Лист2!$B$2:$B$505=B481),(Лист2!$C$2:$C$505))</f>
        <v>60</v>
      </c>
      <c r="F481" s="7" cm="1">
        <f t="array" ref="F481">_xlfn.XLOOKUP(1, (Лист2!$A$2:$A$505=A481)*(Лист2!$B$2:$B$505=B481), Лист2!$D$2:$D$505)</f>
        <v>12460</v>
      </c>
      <c r="G481" s="7" cm="1">
        <f t="array" ref="G481">_xlfn.XLOOKUP(1, (Лист2!$A$2:$A$505=A481)*(Лист2!$B$2:$B$505=B481), Лист2!$E$2:$E$505)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5">
      <c r="A482" s="5">
        <v>43965</v>
      </c>
      <c r="B482" s="6" t="s">
        <v>21</v>
      </c>
      <c r="C482" s="6">
        <v>197946</v>
      </c>
      <c r="D482" s="6">
        <v>19942435.5</v>
      </c>
      <c r="E482" s="7" cm="1">
        <f t="array" ref="E482">_xlfn.XLOOKUP(1,(Лист2!$A$2:$A$505=A482)*(Лист2!$B$2:$B$505=B482),(Лист2!$C$2:$C$505))</f>
        <v>60</v>
      </c>
      <c r="F482" s="7" cm="1">
        <f t="array" ref="F482">_xlfn.XLOOKUP(1, (Лист2!$A$2:$A$505=A482)*(Лист2!$B$2:$B$505=B482), Лист2!$D$2:$D$505)</f>
        <v>11935</v>
      </c>
      <c r="G482" s="7" cm="1">
        <f t="array" ref="G482">_xlfn.XLOOKUP(1, (Лист2!$A$2:$A$505=A482)*(Лист2!$B$2:$B$505=B482), Лист2!$E$2:$E$505)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5">
      <c r="A483" s="8">
        <v>43966</v>
      </c>
      <c r="B483" s="9" t="s">
        <v>21</v>
      </c>
      <c r="C483" s="9">
        <v>230896.5</v>
      </c>
      <c r="D483" s="9">
        <v>23085222</v>
      </c>
      <c r="E483" s="7" cm="1">
        <f t="array" ref="E483">_xlfn.XLOOKUP(1,(Лист2!$A$2:$A$505=A483)*(Лист2!$B$2:$B$505=B483),(Лист2!$C$2:$C$505))</f>
        <v>60</v>
      </c>
      <c r="F483" s="7" cm="1">
        <f t="array" ref="F483">_xlfn.XLOOKUP(1, (Лист2!$A$2:$A$505=A483)*(Лист2!$B$2:$B$505=B483), Лист2!$D$2:$D$505)</f>
        <v>13544</v>
      </c>
      <c r="G483" s="7" cm="1">
        <f t="array" ref="G483">_xlfn.XLOOKUP(1, (Лист2!$A$2:$A$505=A483)*(Лист2!$B$2:$B$505=B483), Лист2!$E$2:$E$505)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5">
      <c r="A484" s="5">
        <v>43978</v>
      </c>
      <c r="B484" s="6" t="s">
        <v>22</v>
      </c>
      <c r="C484" s="6">
        <v>203532</v>
      </c>
      <c r="D484" s="6">
        <v>20953324.5</v>
      </c>
      <c r="E484" s="7" cm="1">
        <f t="array" ref="E484">_xlfn.XLOOKUP(1,(Лист2!$A$2:$A$505=A484)*(Лист2!$B$2:$B$505=B484),(Лист2!$C$2:$C$505))</f>
        <v>54</v>
      </c>
      <c r="F484" s="7" cm="1">
        <f t="array" ref="F484">_xlfn.XLOOKUP(1, (Лист2!$A$2:$A$505=A484)*(Лист2!$B$2:$B$505=B484), Лист2!$D$2:$D$505)</f>
        <v>13091</v>
      </c>
      <c r="G484" s="7" cm="1">
        <f t="array" ref="G484">_xlfn.XLOOKUP(1, (Лист2!$A$2:$A$505=A484)*(Лист2!$B$2:$B$505=B484), Лист2!$E$2:$E$505)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5">
      <c r="A485" s="8">
        <v>43973</v>
      </c>
      <c r="B485" s="9" t="s">
        <v>22</v>
      </c>
      <c r="C485" s="9">
        <v>214428</v>
      </c>
      <c r="D485" s="9">
        <v>20812585.5</v>
      </c>
      <c r="E485" s="7" cm="1">
        <f t="array" ref="E485">_xlfn.XLOOKUP(1,(Лист2!$A$2:$A$505=A485)*(Лист2!$B$2:$B$505=B485),(Лист2!$C$2:$C$505))</f>
        <v>54</v>
      </c>
      <c r="F485" s="7" cm="1">
        <f t="array" ref="F485">_xlfn.XLOOKUP(1, (Лист2!$A$2:$A$505=A485)*(Лист2!$B$2:$B$505=B485), Лист2!$D$2:$D$505)</f>
        <v>13014</v>
      </c>
      <c r="G485" s="7" cm="1">
        <f t="array" ref="G485">_xlfn.XLOOKUP(1, (Лист2!$A$2:$A$505=A485)*(Лист2!$B$2:$B$505=B485), Лист2!$E$2:$E$505)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5">
      <c r="A486" s="5">
        <v>43983</v>
      </c>
      <c r="B486" s="6" t="s">
        <v>22</v>
      </c>
      <c r="C486" s="6">
        <v>183228</v>
      </c>
      <c r="D486" s="6">
        <v>18914194.5</v>
      </c>
      <c r="E486" s="7" cm="1">
        <f t="array" ref="E486">_xlfn.XLOOKUP(1,(Лист2!$A$2:$A$505=A486)*(Лист2!$B$2:$B$505=B486),(Лист2!$C$2:$C$505))</f>
        <v>54</v>
      </c>
      <c r="F486" s="7" cm="1">
        <f t="array" ref="F486">_xlfn.XLOOKUP(1, (Лист2!$A$2:$A$505=A486)*(Лист2!$B$2:$B$505=B486), Лист2!$D$2:$D$505)</f>
        <v>11864</v>
      </c>
      <c r="G486" s="7" cm="1">
        <f t="array" ref="G486">_xlfn.XLOOKUP(1, (Лист2!$A$2:$A$505=A486)*(Лист2!$B$2:$B$505=B486), Лист2!$E$2:$E$505)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5">
      <c r="A487" s="8">
        <v>43962</v>
      </c>
      <c r="B487" s="9" t="s">
        <v>22</v>
      </c>
      <c r="C487" s="9">
        <v>166948.5</v>
      </c>
      <c r="D487" s="9">
        <v>16971231</v>
      </c>
      <c r="E487" s="7" cm="1">
        <f t="array" ref="E487">_xlfn.XLOOKUP(1,(Лист2!$A$2:$A$505=A487)*(Лист2!$B$2:$B$505=B487),(Лист2!$C$2:$C$505))</f>
        <v>54</v>
      </c>
      <c r="F487" s="7" cm="1">
        <f t="array" ref="F487">_xlfn.XLOOKUP(1, (Лист2!$A$2:$A$505=A487)*(Лист2!$B$2:$B$505=B487), Лист2!$D$2:$D$505)</f>
        <v>10570</v>
      </c>
      <c r="G487" s="7" cm="1">
        <f t="array" ref="G487">_xlfn.XLOOKUP(1, (Лист2!$A$2:$A$505=A487)*(Лист2!$B$2:$B$505=B487), Лист2!$E$2:$E$505)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5">
      <c r="A488" s="5">
        <v>43980</v>
      </c>
      <c r="B488" s="6" t="s">
        <v>21</v>
      </c>
      <c r="C488" s="6">
        <v>232102.5</v>
      </c>
      <c r="D488" s="6">
        <v>23120443.5</v>
      </c>
      <c r="E488" s="7" cm="1">
        <f t="array" ref="E488">_xlfn.XLOOKUP(1,(Лист2!$A$2:$A$505=A488)*(Лист2!$B$2:$B$505=B488),(Лист2!$C$2:$C$505))</f>
        <v>59</v>
      </c>
      <c r="F488" s="7" cm="1">
        <f t="array" ref="F488">_xlfn.XLOOKUP(1, (Лист2!$A$2:$A$505=A488)*(Лист2!$B$2:$B$505=B488), Лист2!$D$2:$D$505)</f>
        <v>14507</v>
      </c>
      <c r="G488" s="7" cm="1">
        <f t="array" ref="G488">_xlfn.XLOOKUP(1, (Лист2!$A$2:$A$505=A488)*(Лист2!$B$2:$B$505=B488), Лист2!$E$2:$E$505)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5">
      <c r="A489" s="8">
        <v>43969</v>
      </c>
      <c r="B489" s="9" t="s">
        <v>22</v>
      </c>
      <c r="C489" s="9">
        <v>196560</v>
      </c>
      <c r="D489" s="9">
        <v>19855122</v>
      </c>
      <c r="E489" s="7" cm="1">
        <f t="array" ref="E489">_xlfn.XLOOKUP(1,(Лист2!$A$2:$A$505=A489)*(Лист2!$B$2:$B$505=B489),(Лист2!$C$2:$C$505))</f>
        <v>54</v>
      </c>
      <c r="F489" s="7" cm="1">
        <f t="array" ref="F489">_xlfn.XLOOKUP(1, (Лист2!$A$2:$A$505=A489)*(Лист2!$B$2:$B$505=B489), Лист2!$D$2:$D$505)</f>
        <v>12012</v>
      </c>
      <c r="G489" s="7" cm="1">
        <f t="array" ref="G489">_xlfn.XLOOKUP(1, (Лист2!$A$2:$A$505=A489)*(Лист2!$B$2:$B$505=B489), Лист2!$E$2:$E$505)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5">
      <c r="A490" s="5">
        <v>43965</v>
      </c>
      <c r="B490" s="6" t="s">
        <v>22</v>
      </c>
      <c r="C490" s="6">
        <v>186496.5</v>
      </c>
      <c r="D490" s="6">
        <v>18640998</v>
      </c>
      <c r="E490" s="7" cm="1">
        <f t="array" ref="E490">_xlfn.XLOOKUP(1,(Лист2!$A$2:$A$505=A490)*(Лист2!$B$2:$B$505=B490),(Лист2!$C$2:$C$505))</f>
        <v>54</v>
      </c>
      <c r="F490" s="7" cm="1">
        <f t="array" ref="F490">_xlfn.XLOOKUP(1, (Лист2!$A$2:$A$505=A490)*(Лист2!$B$2:$B$505=B490), Лист2!$D$2:$D$505)</f>
        <v>11194</v>
      </c>
      <c r="G490" s="7" cm="1">
        <f t="array" ref="G490">_xlfn.XLOOKUP(1, (Лист2!$A$2:$A$505=A490)*(Лист2!$B$2:$B$505=B490), Лист2!$E$2:$E$505)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5">
      <c r="A491" s="8">
        <v>43966</v>
      </c>
      <c r="B491" s="9" t="s">
        <v>22</v>
      </c>
      <c r="C491" s="9">
        <v>219772.5</v>
      </c>
      <c r="D491" s="9">
        <v>21895294.5</v>
      </c>
      <c r="E491" s="7" cm="1">
        <f t="array" ref="E491">_xlfn.XLOOKUP(1,(Лист2!$A$2:$A$505=A491)*(Лист2!$B$2:$B$505=B491),(Лист2!$C$2:$C$505))</f>
        <v>54</v>
      </c>
      <c r="F491" s="7" cm="1">
        <f t="array" ref="F491">_xlfn.XLOOKUP(1, (Лист2!$A$2:$A$505=A491)*(Лист2!$B$2:$B$505=B491), Лист2!$D$2:$D$505)</f>
        <v>12791</v>
      </c>
      <c r="G491" s="7" cm="1">
        <f t="array" ref="G491">_xlfn.XLOOKUP(1, (Лист2!$A$2:$A$505=A491)*(Лист2!$B$2:$B$505=B491), Лист2!$E$2:$E$505)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5">
      <c r="A492" s="5">
        <v>43980</v>
      </c>
      <c r="B492" s="6" t="s">
        <v>22</v>
      </c>
      <c r="C492" s="6">
        <v>226476</v>
      </c>
      <c r="D492" s="6">
        <v>22416151.5</v>
      </c>
      <c r="E492" s="7" cm="1">
        <f t="array" ref="E492">_xlfn.XLOOKUP(1,(Лист2!$A$2:$A$505=A492)*(Лист2!$B$2:$B$505=B492),(Лист2!$C$2:$C$505))</f>
        <v>54</v>
      </c>
      <c r="F492" s="7" cm="1">
        <f t="array" ref="F492">_xlfn.XLOOKUP(1, (Лист2!$A$2:$A$505=A492)*(Лист2!$B$2:$B$505=B492), Лист2!$D$2:$D$505)</f>
        <v>14031</v>
      </c>
      <c r="G492" s="7" cm="1">
        <f t="array" ref="G492">_xlfn.XLOOKUP(1, (Лист2!$A$2:$A$505=A492)*(Лист2!$B$2:$B$505=B492), Лист2!$E$2:$E$505)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5">
      <c r="A493" s="8">
        <v>43978</v>
      </c>
      <c r="B493" s="9" t="s">
        <v>24</v>
      </c>
      <c r="C493" s="9">
        <v>8362.5</v>
      </c>
      <c r="D493" s="9">
        <v>687684</v>
      </c>
      <c r="E493" s="7" cm="1">
        <f t="array" ref="E493">_xlfn.XLOOKUP(1,(Лист2!$A$2:$A$505=A493)*(Лист2!$B$2:$B$505=B493),(Лист2!$C$2:$C$505))</f>
        <v>7</v>
      </c>
      <c r="F493" s="7" cm="1">
        <f t="array" ref="F493">_xlfn.XLOOKUP(1, (Лист2!$A$2:$A$505=A493)*(Лист2!$B$2:$B$505=B493), Лист2!$D$2:$D$505)</f>
        <v>409</v>
      </c>
      <c r="G493" s="7" cm="1">
        <f t="array" ref="G493">_xlfn.XLOOKUP(1, (Лист2!$A$2:$A$505=A493)*(Лист2!$B$2:$B$505=B493), Лист2!$E$2:$E$505)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5">
      <c r="A494" s="5">
        <v>43973</v>
      </c>
      <c r="B494" s="6" t="s">
        <v>23</v>
      </c>
      <c r="C494" s="6">
        <v>17008.5</v>
      </c>
      <c r="D494" s="6">
        <v>1398771</v>
      </c>
      <c r="E494" s="7" cm="1">
        <f t="array" ref="E494">_xlfn.XLOOKUP(1,(Лист2!$A$2:$A$505=A494)*(Лист2!$B$2:$B$505=B494),(Лист2!$C$2:$C$505))</f>
        <v>18</v>
      </c>
      <c r="F494" s="7" cm="1">
        <f t="array" ref="F494">_xlfn.XLOOKUP(1, (Лист2!$A$2:$A$505=A494)*(Лист2!$B$2:$B$505=B494), Лист2!$D$2:$D$505)</f>
        <v>985</v>
      </c>
      <c r="G494" s="7" cm="1">
        <f t="array" ref="G494">_xlfn.XLOOKUP(1, (Лист2!$A$2:$A$505=A494)*(Лист2!$B$2:$B$505=B494), Лист2!$E$2:$E$505)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5">
      <c r="A495" s="8">
        <v>43983</v>
      </c>
      <c r="B495" s="9" t="s">
        <v>25</v>
      </c>
      <c r="C495" s="9">
        <v>5166</v>
      </c>
      <c r="D495" s="9">
        <v>389013</v>
      </c>
      <c r="E495" s="7" cm="1">
        <f t="array" ref="E495">_xlfn.XLOOKUP(1,(Лист2!$A$2:$A$505=A495)*(Лист2!$B$2:$B$505=B495),(Лист2!$C$2:$C$505))</f>
        <v>9</v>
      </c>
      <c r="F495" s="7" cm="1">
        <f t="array" ref="F495">_xlfn.XLOOKUP(1, (Лист2!$A$2:$A$505=A495)*(Лист2!$B$2:$B$505=B495), Лист2!$D$2:$D$505)</f>
        <v>294</v>
      </c>
      <c r="G495" s="7" cm="1">
        <f t="array" ref="G495">_xlfn.XLOOKUP(1, (Лист2!$A$2:$A$505=A495)*(Лист2!$B$2:$B$505=B495), Лист2!$E$2:$E$505)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5">
      <c r="A496" s="5">
        <v>43962</v>
      </c>
      <c r="B496" s="6" t="s">
        <v>23</v>
      </c>
      <c r="C496" s="6">
        <v>10941</v>
      </c>
      <c r="D496" s="6">
        <v>880356</v>
      </c>
      <c r="E496" s="7" cm="1">
        <f t="array" ref="E496">_xlfn.XLOOKUP(1,(Лист2!$A$2:$A$505=A496)*(Лист2!$B$2:$B$505=B496),(Лист2!$C$2:$C$505))</f>
        <v>15</v>
      </c>
      <c r="F496" s="7" cm="1">
        <f t="array" ref="F496">_xlfn.XLOOKUP(1, (Лист2!$A$2:$A$505=A496)*(Лист2!$B$2:$B$505=B496), Лист2!$D$2:$D$505)</f>
        <v>654</v>
      </c>
      <c r="G496" s="7" cm="1">
        <f t="array" ref="G496">_xlfn.XLOOKUP(1, (Лист2!$A$2:$A$505=A496)*(Лист2!$B$2:$B$505=B496), Лист2!$E$2:$E$505)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5">
      <c r="A497" s="8">
        <v>43969</v>
      </c>
      <c r="B497" s="9" t="s">
        <v>23</v>
      </c>
      <c r="C497" s="9">
        <v>14497.5</v>
      </c>
      <c r="D497" s="9">
        <v>1230711</v>
      </c>
      <c r="E497" s="7" cm="1">
        <f t="array" ref="E497">_xlfn.XLOOKUP(1,(Лист2!$A$2:$A$505=A497)*(Лист2!$B$2:$B$505=B497),(Лист2!$C$2:$C$505))</f>
        <v>16</v>
      </c>
      <c r="F497" s="7" cm="1">
        <f t="array" ref="F497">_xlfn.XLOOKUP(1, (Лист2!$A$2:$A$505=A497)*(Лист2!$B$2:$B$505=B497), Лист2!$D$2:$D$505)</f>
        <v>864</v>
      </c>
      <c r="G497" s="7" cm="1">
        <f t="array" ref="G497">_xlfn.XLOOKUP(1, (Лист2!$A$2:$A$505=A497)*(Лист2!$B$2:$B$505=B497), Лист2!$E$2:$E$505)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5">
      <c r="A498" s="5">
        <v>43965</v>
      </c>
      <c r="B498" s="6" t="s">
        <v>23</v>
      </c>
      <c r="C498" s="6">
        <v>13810.5</v>
      </c>
      <c r="D498" s="6">
        <v>1131676.5</v>
      </c>
      <c r="E498" s="7" cm="1">
        <f t="array" ref="E498">_xlfn.XLOOKUP(1,(Лист2!$A$2:$A$505=A498)*(Лист2!$B$2:$B$505=B498),(Лист2!$C$2:$C$505))</f>
        <v>16</v>
      </c>
      <c r="F498" s="7" cm="1">
        <f t="array" ref="F498">_xlfn.XLOOKUP(1, (Лист2!$A$2:$A$505=A498)*(Лист2!$B$2:$B$505=B498), Лист2!$D$2:$D$505)</f>
        <v>834</v>
      </c>
      <c r="G498" s="7" cm="1">
        <f t="array" ref="G498">_xlfn.XLOOKUP(1, (Лист2!$A$2:$A$505=A498)*(Лист2!$B$2:$B$505=B498), Лист2!$E$2:$E$505)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5">
      <c r="A499" s="8">
        <v>43966</v>
      </c>
      <c r="B499" s="9" t="s">
        <v>23</v>
      </c>
      <c r="C499" s="9">
        <v>13752</v>
      </c>
      <c r="D499" s="9">
        <v>1091040</v>
      </c>
      <c r="E499" s="7" cm="1">
        <f t="array" ref="E499">_xlfn.XLOOKUP(1,(Лист2!$A$2:$A$505=A499)*(Лист2!$B$2:$B$505=B499),(Лист2!$C$2:$C$505))</f>
        <v>16</v>
      </c>
      <c r="F499" s="7" cm="1">
        <f t="array" ref="F499">_xlfn.XLOOKUP(1, (Лист2!$A$2:$A$505=A499)*(Лист2!$B$2:$B$505=B499), Лист2!$D$2:$D$505)</f>
        <v>817</v>
      </c>
      <c r="G499" s="7" cm="1">
        <f t="array" ref="G499">_xlfn.XLOOKUP(1, (Лист2!$A$2:$A$505=A499)*(Лист2!$B$2:$B$505=B499), Лист2!$E$2:$E$505)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5">
      <c r="A500" s="5">
        <v>43978</v>
      </c>
      <c r="B500" s="6" t="s">
        <v>23</v>
      </c>
      <c r="C500" s="6">
        <v>15276</v>
      </c>
      <c r="D500" s="6">
        <v>1350199.5</v>
      </c>
      <c r="E500" s="7" cm="1">
        <f t="array" ref="E500">_xlfn.XLOOKUP(1,(Лист2!$A$2:$A$505=A500)*(Лист2!$B$2:$B$505=B500),(Лист2!$C$2:$C$505))</f>
        <v>18</v>
      </c>
      <c r="F500" s="7" cm="1">
        <f t="array" ref="F500">_xlfn.XLOOKUP(1, (Лист2!$A$2:$A$505=A500)*(Лист2!$B$2:$B$505=B500), Лист2!$D$2:$D$505)</f>
        <v>962</v>
      </c>
      <c r="G500" s="7" cm="1">
        <f t="array" ref="G500">_xlfn.XLOOKUP(1, (Лист2!$A$2:$A$505=A500)*(Лист2!$B$2:$B$505=B500), Лист2!$E$2:$E$505)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5">
      <c r="A501" s="8">
        <v>43983</v>
      </c>
      <c r="B501" s="9" t="s">
        <v>26</v>
      </c>
      <c r="C501" s="9">
        <v>4408.5</v>
      </c>
      <c r="D501" s="9">
        <v>410892</v>
      </c>
      <c r="E501" s="7" cm="1">
        <f t="array" ref="E501">_xlfn.XLOOKUP(1,(Лист2!$A$2:$A$505=A501)*(Лист2!$B$2:$B$505=B501),(Лист2!$C$2:$C$505))</f>
        <v>6</v>
      </c>
      <c r="F501" s="7" cm="1">
        <f t="array" ref="F501">_xlfn.XLOOKUP(1, (Лист2!$A$2:$A$505=A501)*(Лист2!$B$2:$B$505=B501), Лист2!$D$2:$D$505)</f>
        <v>237</v>
      </c>
      <c r="G501" s="7" cm="1">
        <f t="array" ref="G501">_xlfn.XLOOKUP(1, (Лист2!$A$2:$A$505=A501)*(Лист2!$B$2:$B$505=B501), Лист2!$E$2:$E$505)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5">
      <c r="A502" s="5">
        <v>43980</v>
      </c>
      <c r="B502" s="6" t="s">
        <v>24</v>
      </c>
      <c r="C502" s="6">
        <v>9927</v>
      </c>
      <c r="D502" s="6">
        <v>850840.5</v>
      </c>
      <c r="E502" s="7" cm="1">
        <f t="array" ref="E502">_xlfn.XLOOKUP(1,(Лист2!$A$2:$A$505=A502)*(Лист2!$B$2:$B$505=B502),(Лист2!$C$2:$C$505))</f>
        <v>7</v>
      </c>
      <c r="F502" s="7" cm="1">
        <f t="array" ref="F502">_xlfn.XLOOKUP(1, (Лист2!$A$2:$A$505=A502)*(Лист2!$B$2:$B$505=B502), Лист2!$D$2:$D$505)</f>
        <v>491</v>
      </c>
      <c r="G502" s="7" cm="1">
        <f t="array" ref="G502">_xlfn.XLOOKUP(1, (Лист2!$A$2:$A$505=A502)*(Лист2!$B$2:$B$505=B502), Лист2!$E$2:$E$505)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5">
      <c r="A503" s="8">
        <v>43983</v>
      </c>
      <c r="B503" s="9" t="s">
        <v>24</v>
      </c>
      <c r="C503" s="9">
        <v>9474</v>
      </c>
      <c r="D503" s="9">
        <v>802447.5</v>
      </c>
      <c r="E503" s="7" cm="1">
        <f t="array" ref="E503">_xlfn.XLOOKUP(1,(Лист2!$A$2:$A$505=A503)*(Лист2!$B$2:$B$505=B503),(Лист2!$C$2:$C$505))</f>
        <v>7</v>
      </c>
      <c r="F503" s="7" cm="1">
        <f t="array" ref="F503">_xlfn.XLOOKUP(1, (Лист2!$A$2:$A$505=A503)*(Лист2!$B$2:$B$505=B503), Лист2!$D$2:$D$505)</f>
        <v>500</v>
      </c>
      <c r="G503" s="7" cm="1">
        <f t="array" ref="G503">_xlfn.XLOOKUP(1, (Лист2!$A$2:$A$505=A503)*(Лист2!$B$2:$B$505=B503), Лист2!$E$2:$E$505)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5">
      <c r="A504" s="5">
        <v>43980</v>
      </c>
      <c r="B504" s="6" t="s">
        <v>23</v>
      </c>
      <c r="C504" s="6">
        <v>16878</v>
      </c>
      <c r="D504" s="6">
        <v>1438255.5</v>
      </c>
      <c r="E504" s="7" cm="1">
        <f t="array" ref="E504">_xlfn.XLOOKUP(1,(Лист2!$A$2:$A$505=A504)*(Лист2!$B$2:$B$505=B504),(Лист2!$C$2:$C$505))</f>
        <v>18</v>
      </c>
      <c r="F504" s="7" cm="1">
        <f t="array" ref="F504">_xlfn.XLOOKUP(1, (Лист2!$A$2:$A$505=A504)*(Лист2!$B$2:$B$505=B504), Лист2!$D$2:$D$505)</f>
        <v>1014</v>
      </c>
      <c r="G504" s="7" cm="1">
        <f t="array" ref="G504">_xlfn.XLOOKUP(1, (Лист2!$A$2:$A$505=A504)*(Лист2!$B$2:$B$505=B504), Лист2!$E$2:$E$505)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5">
      <c r="A505" s="10">
        <v>43983</v>
      </c>
      <c r="B505" s="11" t="s">
        <v>23</v>
      </c>
      <c r="C505" s="11">
        <v>14238</v>
      </c>
      <c r="D505" s="11">
        <v>1293219</v>
      </c>
      <c r="E505" s="7" cm="1">
        <f t="array" ref="E505">_xlfn.XLOOKUP(1,(Лист2!$A$2:$A$505=A505)*(Лист2!$B$2:$B$505=B505),(Лист2!$C$2:$C$505))</f>
        <v>18</v>
      </c>
      <c r="F505" s="7" cm="1">
        <f t="array" ref="F505">_xlfn.XLOOKUP(1, (Лист2!$A$2:$A$505=A505)*(Лист2!$B$2:$B$505=B505), Лист2!$D$2:$D$505)</f>
        <v>923</v>
      </c>
      <c r="G505" s="7" cm="1">
        <f t="array" ref="G505">_xlfn.XLOOKUP(1, (Лист2!$A$2:$A$505=A505)*(Лист2!$B$2:$B$505=B505), Лист2!$E$2:$E$505)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5"/>
    <row r="507" spans="1:9" ht="14.25" customHeight="1" x14ac:dyDescent="0.35"/>
    <row r="508" spans="1:9" ht="14.25" customHeight="1" x14ac:dyDescent="0.35"/>
    <row r="509" spans="1:9" ht="14.25" customHeight="1" x14ac:dyDescent="0.35"/>
    <row r="510" spans="1:9" ht="14.25" customHeight="1" x14ac:dyDescent="0.35"/>
    <row r="511" spans="1:9" ht="14.25" customHeight="1" x14ac:dyDescent="0.35"/>
    <row r="512" spans="1:9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53125" defaultRowHeight="15" customHeight="1" x14ac:dyDescent="0.35"/>
  <cols>
    <col min="1" max="1" width="10.453125" customWidth="1"/>
    <col min="2" max="2" width="22.81640625" customWidth="1"/>
    <col min="3" max="3" width="22.7265625" customWidth="1"/>
    <col min="4" max="4" width="22.08984375" customWidth="1"/>
    <col min="5" max="5" width="25.453125" customWidth="1"/>
    <col min="6" max="26" width="8.7265625" customWidth="1"/>
  </cols>
  <sheetData>
    <row r="1" spans="1:5" ht="14.25" customHeight="1" x14ac:dyDescent="0.3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5"/>
    <row r="507" spans="1:5" ht="14.25" customHeight="1" x14ac:dyDescent="0.35"/>
    <row r="508" spans="1:5" ht="14.25" customHeight="1" x14ac:dyDescent="0.35"/>
    <row r="509" spans="1:5" ht="14.25" customHeight="1" x14ac:dyDescent="0.35"/>
    <row r="510" spans="1:5" ht="14.25" customHeight="1" x14ac:dyDescent="0.35"/>
    <row r="511" spans="1:5" ht="14.25" customHeight="1" x14ac:dyDescent="0.35"/>
    <row r="512" spans="1:5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ТОП-3 по доле в товарообороте</vt:lpstr>
      <vt:lpstr>ТОП-3 по товарообороту на склад</vt:lpstr>
      <vt:lpstr>График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Zhenis M</cp:lastModifiedBy>
  <dcterms:created xsi:type="dcterms:W3CDTF">2021-09-13T10:17:58Z</dcterms:created>
  <dcterms:modified xsi:type="dcterms:W3CDTF">2026-03-02T13:49:44Z</dcterms:modified>
</cp:coreProperties>
</file>